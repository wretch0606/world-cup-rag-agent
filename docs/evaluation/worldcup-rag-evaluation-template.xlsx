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9a0bb4354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bfa8f9e35274043"/>
    <x:sheet xmlns:r="http://schemas.openxmlformats.org/officeDocument/2006/relationships" name="用例索引" sheetId="2" r:id="R5514d22e791c4ead"/>
    <x:sheet xmlns:r="http://schemas.openxmlformats.org/officeDocument/2006/relationships" name="运行记录" sheetId="3" r:id="R329e3e3835a84a91"/>
    <x:sheet xmlns:r="http://schemas.openxmlformats.org/officeDocument/2006/relationships" name="指标汇总" sheetId="4" r:id="R8dadcc884db5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"/>
    <x:numFmt numFmtId="202" formatCode="0.0"/>
    <x:numFmt numFmtId="203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/>
    <x:xf numFmtId="0" fontId="2" fillId="2" borderId="6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09d15715d4105" /><Relationship Type="http://schemas.openxmlformats.org/officeDocument/2006/relationships/theme" Target="/xl/theme/theme1.xml" Id="R9af4a249d0fc4d1d" /><Relationship Type="http://schemas.openxmlformats.org/officeDocument/2006/relationships/sharedStrings" Target="/xl/sharedStrings.xml" Id="R1d43d751ed864c57" /><Relationship Type="http://schemas.openxmlformats.org/officeDocument/2006/relationships/worksheet" Target="/xl/worksheets/sheet1.xml" Id="R0bfa8f9e35274043" /><Relationship Type="http://schemas.openxmlformats.org/officeDocument/2006/relationships/worksheet" Target="/xl/worksheets/sheet2.xml" Id="R5514d22e791c4ead" /><Relationship Type="http://schemas.openxmlformats.org/officeDocument/2006/relationships/worksheet" Target="/xl/worksheets/sheet3.xml" Id="R329e3e3835a84a91" /><Relationship Type="http://schemas.openxmlformats.org/officeDocument/2006/relationships/worksheet" Target="/xl/worksheets/sheet4.xml" Id="R8dadcc884db54df5" /></Relationships>
</file>

<file path=xl/tables/table1.xml><?xml version="1.0" encoding="utf-8"?>
<x:table xmlns:x="http://schemas.openxmlformats.org/spreadsheetml/2006/main" id="1" name="TestCaseIndex" displayName="TestCaseIndex" ref="A3:G33" headerRowCount="1" totalsRowCount="0" totalsRowShown="0">
  <x:tableColumns count="7">
    <x:tableColumn id="1" name="用例ID"/>
    <x:tableColumn id="2" name="类型"/>
    <x:tableColumn id="3" name="问题"/>
    <x:tableColumn id="4" name="预期意图"/>
    <x:tableColumn id="5" name="预期告警"/>
    <x:tableColumn id="6" name="来源数"/>
    <x:tableColumn id="7" name="评分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Runs" displayName="EvaluationRuns" ref="A3:W33" headerRowCount="1" totalsRowCount="0" totalsRowShown="0">
  <x:tableColumns count="23">
    <x:tableColumn id="1" name="run_id"/>
    <x:tableColumn id="2" name="test_case_id"/>
    <x:tableColumn id="3" name="category"/>
    <x:tableColumn id="4" name="model"/>
    <x:tableColumn id="5" name="prompt_version"/>
    <x:tableColumn id="6" name="query_rewrite"/>
    <x:tableColumn id="7" name="reranker"/>
    <x:tableColumn id="8" name="top_k"/>
    <x:tableColumn id="9" name="actual_intent"/>
    <x:tableColumn id="10" name="expected_intent"/>
    <x:tableColumn id="11" name="intent_correct"/>
    <x:tableColumn id="12" name="fact_correct"/>
    <x:tableColumn id="13" name="citation_covered"/>
    <x:tableColumn id="14" name="penalty_scope_correct"/>
    <x:tableColumn id="15" name="faithfulness_1_5"/>
    <x:tableColumn id="16" name="completeness_1_5"/>
    <x:tableColumn id="17" name="readability_1_5"/>
    <x:tableColumn id="18" name="latency_ms"/>
    <x:tableColumn id="19" name="warning_code"/>
    <x:tableColumn id="20" name="expected_warning"/>
    <x:tableColumn id="21" name="warning_correct"/>
    <x:tableColumn id="22" name="error_type"/>
    <x:tableColumn id="23" name="notes/tra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4873fb604d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7c3a03980441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4" t="str">
        <x:v>世界杯 RAG 评测工作簿 · 使用说明</x:v>
      </x:c>
      <x:c r="B1" s="4" t="str">
        <x:v>世界杯 RAG 评测工作簿 · 使用说明</x:v>
      </x:c>
      <x:c r="C1" s="4" t="str">
        <x:v>世界杯 RAG 评测工作簿 · 使用说明</x:v>
      </x:c>
      <x:c r="D1" s="4" t="str">
        <x:v>世界杯 RAG 评测工作簿 · 使用说明</x:v>
      </x:c>
      <x:c r="E1" s="4" t="str">
        <x:v>世界杯 RAG 评测工作簿 · 使用说明</x:v>
      </x:c>
      <x:c r="F1" s="4" t="str">
        <x:v>世界杯 RAG 评测工作簿 · 使用说明</x:v>
      </x:c>
    </x:row>
    <x:row r="3" ht="30" customHeight="1">
      <x:c r="A3" s="12" t="str">
        <x:v>步骤</x:v>
      </x:c>
      <x:c r="B3" s="13" t="str">
        <x:v>操作说明</x:v>
      </x:c>
    </x:row>
    <x:row r="4">
      <x:c r="A4" s="20" t="str">
        <x:v>1. 选择版本</x:v>
      </x:c>
      <x:c r="B4" s="20" t="str">
        <x:v>在“运行记录”中填写 run_id、模型、Prompt 版本、query rewrite、reranker 和 Top-K。</x:v>
      </x:c>
    </x:row>
    <x:row r="5">
      <x:c r="A5" s="21" t="str">
        <x:v>2. 执行测试</x:v>
      </x:c>
      <x:c r="B5" s="21" t="str">
        <x:v>逐题调用 RAG 服务，将实际意图、告警、延迟和人工评分填入对应列。</x:v>
      </x:c>
    </x:row>
    <x:row r="6">
      <x:c r="A6" s="21" t="str">
        <x:v>3. 人工评分</x:v>
      </x:c>
      <x:c r="B6" s="21" t="str">
        <x:v>事实正确、来源覆盖、点球口径填 0/1；忠实度、完整性、可读性填 1-5。</x:v>
      </x:c>
    </x:row>
    <x:row r="7">
      <x:c r="A7" s="21" t="str">
        <x:v>4. 查看汇总</x:v>
      </x:c>
      <x:c r="B7" s="21" t="str">
        <x:v>“指标汇总”会自动计算整体指标和分类指标，用于实验报告与 PPT。</x:v>
      </x:c>
    </x:row>
    <x:row r="8">
      <x:c r="A8" s="21" t="str">
        <x:v>5. 保存证据</x:v>
      </x:c>
      <x:c r="B8" s="21" t="str">
        <x:v>失败案例必须记录 error_type 和 notes，并保留 trace_id 或日志路径。</x:v>
      </x:c>
    </x:row>
    <x:row r="9">
      <x:c r="A9" s="22" t="str">
        <x:v>注意</x:v>
      </x:c>
      <x:c r="B9" s="22" t="str">
        <x:v>空白表示尚未评测，不要用 0 代替未完成；0 表示已经评测且失败。</x:v>
      </x:c>
    </x:row>
    <x:row r="11" ht="30" customHeight="1">
      <x:c r="A11" s="12" t="str">
        <x:v>指标</x:v>
      </x:c>
      <x:c r="B11" s="26" t="str">
        <x:v>填写/计算方式</x:v>
      </x:c>
      <x:c r="C11" s="13" t="str">
        <x:v>建议目标</x:v>
      </x:c>
    </x:row>
    <x:row r="12">
      <x:c r="A12" s="20" t="str">
        <x:v>Intent Accuracy</x:v>
      </x:c>
      <x:c r="B12" s="20" t="str">
        <x:v>实际意图与预期意图一致的比例</x:v>
      </x:c>
      <x:c r="C12" s="27" t="n">
        <x:v>0.9</x:v>
      </x:c>
    </x:row>
    <x:row r="13">
      <x:c r="A13" s="21" t="str">
        <x:v>Fact Accuracy</x:v>
      </x:c>
      <x:c r="B13" s="21" t="str">
        <x:v>事实、比分、胜负和阶段全部正确的比例</x:v>
      </x:c>
      <x:c r="C13" s="28" t="n">
        <x:v>0.95</x:v>
      </x:c>
    </x:row>
    <x:row r="14">
      <x:c r="A14" s="21" t="str">
        <x:v>Citation Coverage</x:v>
      </x:c>
      <x:c r="B14" s="21" t="str">
        <x:v>关键结论带可追溯 source_id 的比例</x:v>
      </x:c>
      <x:c r="C14" s="28" t="n">
        <x:v>0.95</x:v>
      </x:c>
    </x:row>
    <x:row r="15">
      <x:c r="A15" s="21" t="str">
        <x:v>Penalty Scope Accuracy</x:v>
      </x:c>
      <x:c r="B15" s="21" t="str">
        <x:v>正式比分与点球比分口径正确的比例</x:v>
      </x:c>
      <x:c r="C15" s="28" t="n">
        <x:v>1</x:v>
      </x:c>
    </x:row>
    <x:row r="16">
      <x:c r="A16" s="21" t="str">
        <x:v>Faithfulness</x:v>
      </x:c>
      <x:c r="B16" s="21" t="str">
        <x:v>答案是否只基于输入事实和证据，1-5 分</x:v>
      </x:c>
      <x:c r="C16" s="21" t="n">
        <x:v>4.5</x:v>
      </x:c>
    </x:row>
    <x:row r="17">
      <x:c r="A17" s="21" t="str">
        <x:v>Completeness</x:v>
      </x:c>
      <x:c r="B17" s="21" t="str">
        <x:v>是否覆盖问题要求的关键信息，1-5 分</x:v>
      </x:c>
      <x:c r="C17" s="21" t="n">
        <x:v>4</x:v>
      </x:c>
    </x:row>
    <x:row r="18">
      <x:c r="A18" s="22" t="str">
        <x:v>Readability</x:v>
      </x:c>
      <x:c r="B18" s="22" t="str">
        <x:v>中文表达是否清晰、简洁，1-5 分</x:v>
      </x:c>
      <x:c r="C18" s="22" t="n">
        <x:v>4</x:v>
      </x:c>
    </x:row>
    <x:row r="20">
      <x:c r="A20" s="32" t="str">
        <x:v>评分提示：只有在真实模型运行完成后才填写运行结果。本模板中的标准事实来自初始测试集，正式提交前应由 C（数据工程负责人）复核 match_id、比分与来源。</x:v>
      </x:c>
      <x:c r="B20" s="32"/>
      <x:c r="C20" s="32"/>
      <x:c r="D20" s="32"/>
      <x:c r="E20" s="32"/>
      <x:c r="F20" s="32"/>
    </x:row>
    <x:row r="21">
      <x:c r="A21" s="32" t="str">
        <x:v>点球题必须分别记录 score_display 与 penalty_score；不得把点球比分计入正式比赛进球。</x:v>
      </x:c>
      <x:c r="B21" s="32"/>
      <x:c r="C21" s="32"/>
      <x:c r="D21" s="32"/>
      <x:c r="E21" s="32"/>
      <x:c r="F21" s="32"/>
    </x:row>
    <x:row r="22">
      <x:c r="A22" s="32" t="str">
        <x:v>建议每次实验使用新的 run_id，不覆盖历史运行，以便比较 Prompt、query rewrite、reranker 和 Top-K。</x:v>
      </x:c>
      <x:c r="B22" s="32"/>
      <x:c r="C22" s="32"/>
      <x:c r="D22" s="32"/>
      <x:c r="E22" s="32"/>
      <x:c r="F22" s="32"/>
    </x:row>
  </x:sheetData>
  <x:mergeCells>
    <x:mergeCell ref="A1:F1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52" hidden="0" customWidth="1"/>
    <x:col min="4" max="4" width="23" hidden="0" customWidth="1"/>
    <x:col min="5" max="5" width="23" hidden="0" customWidth="1"/>
    <x:col min="6" max="6" width="10" hidden="0" customWidth="1"/>
    <x:col min="7" max="7" width="42" hidden="0" customWidth="1"/>
  </x:cols>
  <x:sheetData>
    <x:row r="1" ht="32" customHeight="1">
      <x:c r="A1" s="4" t="str">
        <x:v>测试用例索引（30题）</x:v>
      </x:c>
      <x:c r="B1" s="4" t="str">
        <x:v>测试用例索引（30题）</x:v>
      </x:c>
      <x:c r="C1" s="4" t="str">
        <x:v>测试用例索引（30题）</x:v>
      </x:c>
      <x:c r="D1" s="4" t="str">
        <x:v>测试用例索引（30题）</x:v>
      </x:c>
      <x:c r="E1" s="4" t="str">
        <x:v>测试用例索引（30题）</x:v>
      </x:c>
      <x:c r="F1" s="4" t="str">
        <x:v>测试用例索引（30题）</x:v>
      </x:c>
      <x:c r="G1" s="4" t="str">
        <x:v>测试用例索引（30题）</x:v>
      </x:c>
    </x:row>
    <x:row r="3" ht="30" customHeight="1">
      <x:c r="A3" s="12" t="str">
        <x:v>用例ID</x:v>
      </x:c>
      <x:c r="B3" s="26" t="str">
        <x:v>类型</x:v>
      </x:c>
      <x:c r="C3" s="26" t="str">
        <x:v>问题</x:v>
      </x:c>
      <x:c r="D3" s="26" t="str">
        <x:v>预期意图</x:v>
      </x:c>
      <x:c r="E3" s="26" t="str">
        <x:v>预期告警</x:v>
      </x:c>
      <x:c r="F3" s="26" t="str">
        <x:v>来源数</x:v>
      </x:c>
      <x:c r="G3" s="13" t="str">
        <x:v>评分说明</x:v>
      </x:c>
    </x:row>
    <x:row r="4">
      <x:c r="A4" s="20" t="str">
        <x:v>exact_001</x:v>
      </x:c>
      <x:c r="B4" s="20" t="str">
        <x:v>exact_match</x:v>
      </x:c>
      <x:c r="C4" s="20" t="str">
        <x:v>2018年世界杯决赛的正式比分是多少？</x:v>
      </x:c>
      <x:c r="D4" s="20" t="str">
        <x:v>exact_fact_query</x:v>
      </x:c>
      <x:c r="E4" s="20" t="str"/>
      <x:c r="F4" s="20" t="n">
        <x:v>1</x:v>
      </x:c>
      <x:c r="G4" s="20" t="str">
        <x:v>常规时间结束，不能描述为加时或点球。</x:v>
      </x:c>
    </x:row>
    <x:row r="5">
      <x:c r="A5" s="21" t="str">
        <x:v>exact_002</x:v>
      </x:c>
      <x:c r="B5" s="21" t="str">
        <x:v>exact_match</x:v>
      </x:c>
      <x:c r="C5" s="21" t="str">
        <x:v>2022年世界杯决赛阿根廷和法国的比分是多少？</x:v>
      </x:c>
      <x:c r="D5" s="21" t="str">
        <x:v>exact_fact_query</x:v>
      </x:c>
      <x:c r="E5" s="21" t="str"/>
      <x:c r="F5" s="21" t="n">
        <x:v>1</x:v>
      </x:c>
      <x:c r="G5" s="21" t="str">
        <x:v>正式比分和点球比分必须分开。</x:v>
      </x:c>
    </x:row>
    <x:row r="6">
      <x:c r="A6" s="21" t="str">
        <x:v>exact_003</x:v>
      </x:c>
      <x:c r="B6" s="21" t="str">
        <x:v>exact_match</x:v>
      </x:c>
      <x:c r="C6" s="21" t="str">
        <x:v>2014年世界杯决赛德国对阿根廷的结果是什么？</x:v>
      </x:c>
      <x:c r="D6" s="21" t="str">
        <x:v>exact_fact_query</x:v>
      </x:c>
      <x:c r="E6" s="21" t="str"/>
      <x:c r="F6" s="21" t="n">
        <x:v>1</x:v>
      </x:c>
      <x:c r="G6" s="21" t="str">
        <x:v>加时赛决出胜负。</x:v>
      </x:c>
    </x:row>
    <x:row r="7">
      <x:c r="A7" s="21" t="str">
        <x:v>exact_004</x:v>
      </x:c>
      <x:c r="B7" s="21" t="str">
        <x:v>exact_match</x:v>
      </x:c>
      <x:c r="C7" s="21" t="str">
        <x:v>2010年世界杯决赛西班牙和荷兰的比分是多少？</x:v>
      </x:c>
      <x:c r="D7" s="21" t="str">
        <x:v>exact_fact_query</x:v>
      </x:c>
      <x:c r="E7" s="21" t="str"/>
      <x:c r="F7" s="21" t="n">
        <x:v>1</x:v>
      </x:c>
      <x:c r="G7" s="21" t="str">
        <x:v>加时赛决出胜负。</x:v>
      </x:c>
    </x:row>
    <x:row r="8">
      <x:c r="A8" s="21" t="str">
        <x:v>exact_005</x:v>
      </x:c>
      <x:c r="B8" s="21" t="str">
        <x:v>exact_match</x:v>
      </x:c>
      <x:c r="C8" s="21" t="str">
        <x:v>2006年世界杯决赛意大利与法国的正式比分和点球比分分别是多少？</x:v>
      </x:c>
      <x:c r="D8" s="21" t="str">
        <x:v>exact_fact_query</x:v>
      </x:c>
      <x:c r="E8" s="21" t="str"/>
      <x:c r="F8" s="21" t="n">
        <x:v>1</x:v>
      </x:c>
      <x:c r="G8" s="21" t="str">
        <x:v>点球口径验证。</x:v>
      </x:c>
    </x:row>
    <x:row r="9">
      <x:c r="A9" s="21" t="str">
        <x:v>relation_001</x:v>
      </x:c>
      <x:c r="B9" s="21" t="str">
        <x:v>relation_query</x:v>
      </x:c>
      <x:c r="C9" s="21" t="str">
        <x:v>法国队在2018年世界杯淘汰赛阶段击败了哪些球队？</x:v>
      </x:c>
      <x:c r="D9" s="21" t="str">
        <x:v>match_relation_query</x:v>
      </x:c>
      <x:c r="E9" s="21" t="str"/>
      <x:c r="F9" s="21" t="n">
        <x:v>1</x:v>
      </x:c>
      <x:c r="G9" s="21" t="str">
        <x:v>关系集合必须完整且不重复。</x:v>
      </x:c>
    </x:row>
    <x:row r="10">
      <x:c r="A10" s="21" t="str">
        <x:v>relation_002</x:v>
      </x:c>
      <x:c r="B10" s="21" t="str">
        <x:v>relation_query</x:v>
      </x:c>
      <x:c r="C10" s="21" t="str">
        <x:v>德国队在2014年世界杯淘汰赛阶段战胜了哪些对手？</x:v>
      </x:c>
      <x:c r="D10" s="21" t="str">
        <x:v>match_relation_query</x:v>
      </x:c>
      <x:c r="E10" s="21" t="str"/>
      <x:c r="F10" s="21" t="n">
        <x:v>1</x:v>
      </x:c>
      <x:c r="G10" s="21" t="str">
        <x:v>区分常规时间和加时胜利。</x:v>
      </x:c>
    </x:row>
    <x:row r="11">
      <x:c r="A11" s="21" t="str">
        <x:v>relation_003</x:v>
      </x:c>
      <x:c r="B11" s="21" t="str">
        <x:v>relation_query</x:v>
      </x:c>
      <x:c r="C11" s="21" t="str">
        <x:v>西班牙队在2010年世界杯淘汰赛阶段击败了哪些球队？</x:v>
      </x:c>
      <x:c r="D11" s="21" t="str">
        <x:v>match_relation_query</x:v>
      </x:c>
      <x:c r="E11" s="21" t="str"/>
      <x:c r="F11" s="21" t="n">
        <x:v>1</x:v>
      </x:c>
      <x:c r="G11" s="21" t="str">
        <x:v>决赛为加时胜利。</x:v>
      </x:c>
    </x:row>
    <x:row r="12">
      <x:c r="A12" s="21" t="str">
        <x:v>relation_004</x:v>
      </x:c>
      <x:c r="B12" s="21" t="str">
        <x:v>relation_query</x:v>
      </x:c>
      <x:c r="C12" s="21" t="str">
        <x:v>阿根廷队在2022年世界杯淘汰赛中直接获胜和点球晋级的对手分别是谁？</x:v>
      </x:c>
      <x:c r="D12" s="21" t="str">
        <x:v>match_relation_query</x:v>
      </x:c>
      <x:c r="E12" s="21" t="str"/>
      <x:c r="F12" s="21" t="n">
        <x:v>1</x:v>
      </x:c>
      <x:c r="G12" s="21" t="str">
        <x:v>必须分组表达常规胜利与点球晋级。</x:v>
      </x:c>
    </x:row>
    <x:row r="13">
      <x:c r="A13" s="21" t="str">
        <x:v>relation_005</x:v>
      </x:c>
      <x:c r="B13" s="21" t="str">
        <x:v>relation_query</x:v>
      </x:c>
      <x:c r="C13" s="21" t="str">
        <x:v>克罗地亚队在2018年世界杯淘汰赛通过哪些方式晋级决赛？</x:v>
      </x:c>
      <x:c r="D13" s="21" t="str">
        <x:v>match_relation_query</x:v>
      </x:c>
      <x:c r="E13" s="21" t="str"/>
      <x:c r="F13" s="21" t="n">
        <x:v>1</x:v>
      </x:c>
      <x:c r="G13" s="21" t="str">
        <x:v>关系问题也要保持晋级方式口径。</x:v>
      </x:c>
    </x:row>
    <x:row r="14">
      <x:c r="A14" s="21" t="str">
        <x:v>penalty_001</x:v>
      </x:c>
      <x:c r="B14" s="21" t="str">
        <x:v>penalty_query</x:v>
      </x:c>
      <x:c r="C14" s="21" t="str">
        <x:v>2022年世界杯决赛的正式比分与点球比分分别是多少？</x:v>
      </x:c>
      <x:c r="D14" s="21" t="str">
        <x:v>penalty_query</x:v>
      </x:c>
      <x:c r="E14" s="21" t="str"/>
      <x:c r="F14" s="21" t="n">
        <x:v>1</x:v>
      </x:c>
      <x:c r="G14" s="21" t="str">
        <x:v>基础点球口径题。</x:v>
      </x:c>
    </x:row>
    <x:row r="15">
      <x:c r="A15" s="21" t="str">
        <x:v>penalty_002</x:v>
      </x:c>
      <x:c r="B15" s="21" t="str">
        <x:v>penalty_query</x:v>
      </x:c>
      <x:c r="C15" s="21" t="str">
        <x:v>2006年世界杯决赛意大利是以什么比分通过点球大战获胜的？</x:v>
      </x:c>
      <x:c r="D15" s="21" t="str">
        <x:v>penalty_query</x:v>
      </x:c>
      <x:c r="E15" s="21" t="str"/>
      <x:c r="F15" s="21" t="n">
        <x:v>1</x:v>
      </x:c>
      <x:c r="G15" s="21" t="str">
        <x:v>不得把点球数计入正式比分。</x:v>
      </x:c>
    </x:row>
    <x:row r="16">
      <x:c r="A16" s="21" t="str">
        <x:v>penalty_003</x:v>
      </x:c>
      <x:c r="B16" s="21" t="str">
        <x:v>penalty_query</x:v>
      </x:c>
      <x:c r="C16" s="21" t="str">
        <x:v>2014年世界杯半决赛阿根廷对荷兰的正式比分和点球结果是什么？</x:v>
      </x:c>
      <x:c r="D16" s="21" t="str">
        <x:v>penalty_query</x:v>
      </x:c>
      <x:c r="E16" s="21" t="str"/>
      <x:c r="F16" s="21" t="n">
        <x:v>1</x:v>
      </x:c>
      <x:c r="G16" s="21" t="str">
        <x:v>零比零后点球晋级。</x:v>
      </x:c>
    </x:row>
    <x:row r="17">
      <x:c r="A17" s="21" t="str">
        <x:v>penalty_004</x:v>
      </x:c>
      <x:c r="B17" s="21" t="str">
        <x:v>penalty_query</x:v>
      </x:c>
      <x:c r="C17" s="21" t="str">
        <x:v>2018年世界杯克罗地亚对丹麦的比赛如何决出胜负？</x:v>
      </x:c>
      <x:c r="D17" s="21" t="str">
        <x:v>penalty_query</x:v>
      </x:c>
      <x:c r="E17" s="21" t="str"/>
      <x:c r="F17" s="21" t="n">
        <x:v>1</x:v>
      </x:c>
      <x:c r="G17" s="21" t="str">
        <x:v>点球晋级题。</x:v>
      </x:c>
    </x:row>
    <x:row r="18">
      <x:c r="A18" s="21" t="str">
        <x:v>penalty_005</x:v>
      </x:c>
      <x:c r="B18" s="21" t="str">
        <x:v>penalty_query</x:v>
      </x:c>
      <x:c r="C18" s="21" t="str">
        <x:v>1994年世界杯决赛巴西与意大利的正式比分和点球比分是多少？</x:v>
      </x:c>
      <x:c r="D18" s="21" t="str">
        <x:v>penalty_query</x:v>
      </x:c>
      <x:c r="E18" s="21" t="str"/>
      <x:c r="F18" s="21" t="n">
        <x:v>1</x:v>
      </x:c>
      <x:c r="G18" s="21" t="str">
        <x:v>历史点球决赛题。</x:v>
      </x:c>
    </x:row>
    <x:row r="19">
      <x:c r="A19" s="21" t="str">
        <x:v>comparison_001</x:v>
      </x:c>
      <x:c r="B19" s="21" t="str">
        <x:v>comparison</x:v>
      </x:c>
      <x:c r="C19" s="21" t="str">
        <x:v>比较法国队在2018年和2022年世界杯决赛中的结果。</x:v>
      </x:c>
      <x:c r="D19" s="21" t="str">
        <x:v>comparison_query</x:v>
      </x:c>
      <x:c r="E19" s="21" t="str"/>
      <x:c r="F19" s="21" t="n">
        <x:v>2</x:v>
      </x:c>
      <x:c r="G19" s="21" t="str">
        <x:v>两届采用相同决赛口径比较。</x:v>
      </x:c>
    </x:row>
    <x:row r="20">
      <x:c r="A20" s="21" t="str">
        <x:v>comparison_002</x:v>
      </x:c>
      <x:c r="B20" s="21" t="str">
        <x:v>comparison</x:v>
      </x:c>
      <x:c r="C20" s="21" t="str">
        <x:v>比较阿根廷队在2014年和2022年世界杯决赛中的结果。</x:v>
      </x:c>
      <x:c r="D20" s="21" t="str">
        <x:v>comparison_query</x:v>
      </x:c>
      <x:c r="E20" s="21" t="str"/>
      <x:c r="F20" s="21" t="n">
        <x:v>2</x:v>
      </x:c>
      <x:c r="G20" s="21" t="str">
        <x:v>结果变化比较。</x:v>
      </x:c>
    </x:row>
    <x:row r="21">
      <x:c r="A21" s="21" t="str">
        <x:v>comparison_003</x:v>
      </x:c>
      <x:c r="B21" s="21" t="str">
        <x:v>comparison</x:v>
      </x:c>
      <x:c r="C21" s="21" t="str">
        <x:v>德国队在2002年和2014年世界杯决赛中的结果有何不同？</x:v>
      </x:c>
      <x:c r="D21" s="21" t="str">
        <x:v>comparison_query</x:v>
      </x:c>
      <x:c r="E21" s="21" t="str"/>
      <x:c r="F21" s="21" t="n">
        <x:v>2</x:v>
      </x:c>
      <x:c r="G21" s="21" t="str">
        <x:v>失败与夺冠对比。</x:v>
      </x:c>
    </x:row>
    <x:row r="22">
      <x:c r="A22" s="21" t="str">
        <x:v>comparison_004</x:v>
      </x:c>
      <x:c r="B22" s="21" t="str">
        <x:v>comparison</x:v>
      </x:c>
      <x:c r="C22" s="21" t="str">
        <x:v>比较巴西队在1994年和2002年世界杯决赛的夺冠方式。</x:v>
      </x:c>
      <x:c r="D22" s="21" t="str">
        <x:v>comparison_query</x:v>
      </x:c>
      <x:c r="E22" s="21" t="str"/>
      <x:c r="F22" s="21" t="n">
        <x:v>2</x:v>
      </x:c>
      <x:c r="G22" s="21" t="str">
        <x:v>夺冠方式比较。</x:v>
      </x:c>
    </x:row>
    <x:row r="23">
      <x:c r="A23" s="21" t="str">
        <x:v>comparison_005</x:v>
      </x:c>
      <x:c r="B23" s="21" t="str">
        <x:v>comparison</x:v>
      </x:c>
      <x:c r="C23" s="21" t="str">
        <x:v>比较克罗地亚队在2018年和2022年世界杯的最终名次。</x:v>
      </x:c>
      <x:c r="D23" s="21" t="str">
        <x:v>comparison_query</x:v>
      </x:c>
      <x:c r="E23" s="21" t="str"/>
      <x:c r="F23" s="21" t="n">
        <x:v>2</x:v>
      </x:c>
      <x:c r="G23" s="21" t="str">
        <x:v>比较名次，不推断未提供的整体实力。</x:v>
      </x:c>
    </x:row>
    <x:row r="24">
      <x:c r="A24" s="21" t="str">
        <x:v>summary_001</x:v>
      </x:c>
      <x:c r="B24" s="21" t="str">
        <x:v>summary</x:v>
      </x:c>
      <x:c r="C24" s="21" t="str">
        <x:v>总结克罗地亚队在2018年世界杯淘汰赛阶段的表现。</x:v>
      </x:c>
      <x:c r="D24" s="21" t="str">
        <x:v>summary_query</x:v>
      </x:c>
      <x:c r="E24" s="21" t="str"/>
      <x:c r="F24" s="21" t="n">
        <x:v>1</x:v>
      </x:c>
      <x:c r="G24" s="21" t="str">
        <x:v>需要事实与报告融合。</x:v>
      </x:c>
    </x:row>
    <x:row r="25">
      <x:c r="A25" s="21" t="str">
        <x:v>summary_002</x:v>
      </x:c>
      <x:c r="B25" s="21" t="str">
        <x:v>summary</x:v>
      </x:c>
      <x:c r="C25" s="21" t="str">
        <x:v>总结阿根廷队在2022年世界杯淘汰赛阶段的晋级过程。</x:v>
      </x:c>
      <x:c r="D25" s="21" t="str">
        <x:v>summary_query</x:v>
      </x:c>
      <x:c r="E25" s="21" t="str"/>
      <x:c r="F25" s="21" t="n">
        <x:v>1</x:v>
      </x:c>
      <x:c r="G25" s="21" t="str">
        <x:v>总结必须区分直接胜利与点球晋级。</x:v>
      </x:c>
    </x:row>
    <x:row r="26">
      <x:c r="A26" s="21" t="str">
        <x:v>summary_003</x:v>
      </x:c>
      <x:c r="B26" s="21" t="str">
        <x:v>summary</x:v>
      </x:c>
      <x:c r="C26" s="21" t="str">
        <x:v>总结西班牙队在2010年世界杯淘汰赛阶段的表现。</x:v>
      </x:c>
      <x:c r="D26" s="21" t="str">
        <x:v>summary_query</x:v>
      </x:c>
      <x:c r="E26" s="21" t="str"/>
      <x:c r="F26" s="21" t="n">
        <x:v>1</x:v>
      </x:c>
      <x:c r="G26" s="21" t="str">
        <x:v>统计值从结构化事实计算。</x:v>
      </x:c>
    </x:row>
    <x:row r="27">
      <x:c r="A27" s="21" t="str">
        <x:v>summary_004</x:v>
      </x:c>
      <x:c r="B27" s="21" t="str">
        <x:v>summary</x:v>
      </x:c>
      <x:c r="C27" s="21" t="str">
        <x:v>总结德国队在2014年世界杯淘汰赛阶段的表现。</x:v>
      </x:c>
      <x:c r="D27" s="21" t="str">
        <x:v>summary_query</x:v>
      </x:c>
      <x:c r="E27" s="21" t="str"/>
      <x:c r="F27" s="21" t="n">
        <x:v>1</x:v>
      </x:c>
      <x:c r="G27" s="21" t="str">
        <x:v>不能只围绕7:1单场比赛总结。</x:v>
      </x:c>
    </x:row>
    <x:row r="28">
      <x:c r="A28" s="21" t="str">
        <x:v>summary_005</x:v>
      </x:c>
      <x:c r="B28" s="21" t="str">
        <x:v>summary</x:v>
      </x:c>
      <x:c r="C28" s="21" t="str">
        <x:v>总结摩洛哥队在2022年世界杯淘汰赛阶段的表现。</x:v>
      </x:c>
      <x:c r="D28" s="21" t="str">
        <x:v>summary_query</x:v>
      </x:c>
      <x:c r="E28" s="21" t="str"/>
      <x:c r="F28" s="21" t="n">
        <x:v>1</x:v>
      </x:c>
      <x:c r="G28" s="21" t="str">
        <x:v>总结历史性四强表现，但不夸大为冠军。</x:v>
      </x:c>
    </x:row>
    <x:row r="29">
      <x:c r="A29" s="21" t="str">
        <x:v>fallback_001</x:v>
      </x:c>
      <x:c r="B29" s="21" t="str">
        <x:v>fallback</x:v>
      </x:c>
      <x:c r="C29" s="21" t="str">
        <x:v>2030年世界杯冠军是谁？</x:v>
      </x:c>
      <x:c r="D29" s="21" t="str">
        <x:v>out_of_scope</x:v>
      </x:c>
      <x:c r="E29" s="21" t="str">
        <x:v>OUT_OF_SCOPE</x:v>
      </x:c>
      <x:c r="F29" s="21" t="n">
        <x:v>0</x:v>
      </x:c>
      <x:c r="G29" s="21" t="str">
        <x:v>未来赛事不得编造。</x:v>
      </x:c>
    </x:row>
    <x:row r="30">
      <x:c r="A30" s="21" t="str">
        <x:v>fallback_002</x:v>
      </x:c>
      <x:c r="B30" s="21" t="str">
        <x:v>fallback</x:v>
      </x:c>
      <x:c r="C30" s="21" t="str">
        <x:v>法国队在世界杯赢过谁？</x:v>
      </x:c>
      <x:c r="D30" s="21" t="str">
        <x:v>need_clarification</x:v>
      </x:c>
      <x:c r="E30" s="21" t="str">
        <x:v>NEED_CLARIFICATION</x:v>
      </x:c>
      <x:c r="F30" s="21" t="n">
        <x:v>0</x:v>
      </x:c>
      <x:c r="G30" s="21" t="str">
        <x:v>范围过宽，应要求补充届次或阶段。</x:v>
      </x:c>
    </x:row>
    <x:row r="31">
      <x:c r="A31" s="21" t="str">
        <x:v>fallback_003</x:v>
      </x:c>
      <x:c r="B31" s="21" t="str">
        <x:v>fallback</x:v>
      </x:c>
      <x:c r="C31" s="21" t="str">
        <x:v>2023年女足世界杯决赛比分是多少？</x:v>
      </x:c>
      <x:c r="D31" s="21" t="str">
        <x:v>out_of_scope</x:v>
      </x:c>
      <x:c r="E31" s="21" t="str">
        <x:v>OUT_OF_SCOPE</x:v>
      </x:c>
      <x:c r="F31" s="21" t="n">
        <x:v>0</x:v>
      </x:c>
      <x:c r="G31" s="21" t="str">
        <x:v>当前项目范围为男子世界杯知识库。</x:v>
      </x:c>
    </x:row>
    <x:row r="32">
      <x:c r="A32" s="21" t="str">
        <x:v>fallback_004</x:v>
      </x:c>
      <x:c r="B32" s="21" t="str">
        <x:v>fallback</x:v>
      </x:c>
      <x:c r="C32" s="21" t="str">
        <x:v>查询知识库中不存在的M-9999比赛比分。</x:v>
      </x:c>
      <x:c r="D32" s="21" t="str">
        <x:v>no_result</x:v>
      </x:c>
      <x:c r="E32" s="21" t="str">
        <x:v>NO_RESULT</x:v>
      </x:c>
      <x:c r="F32" s="21" t="n">
        <x:v>0</x:v>
      </x:c>
      <x:c r="G32" s="21" t="str">
        <x:v>无结果时不得用0:0填补。</x:v>
      </x:c>
    </x:row>
    <x:row r="33">
      <x:c r="A33" s="22" t="str">
        <x:v>fallback_005</x:v>
      </x:c>
      <x:c r="B33" s="22" t="str">
        <x:v>fallback</x:v>
      </x:c>
      <x:c r="C33" s="22" t="str">
        <x:v>两个来源对同一场比赛给出了不同比分，应该采用哪个？</x:v>
      </x:c>
      <x:c r="D33" s="22" t="str">
        <x:v>source_conflict</x:v>
      </x:c>
      <x:c r="E33" s="22" t="str">
        <x:v>SOURCE_CONFLICT</x:v>
      </x:c>
      <x:c r="F33" s="22" t="n">
        <x:v>2</x:v>
      </x:c>
      <x:c r="G33" s="22" t="str">
        <x:v>测试冲突披露与人工复核流程。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64873fb604d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10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20" hidden="0" customWidth="1"/>
    <x:col min="16" max="16" width="20" hidden="0" customWidth="1"/>
    <x:col min="17" max="17" width="20" hidden="0" customWidth="1"/>
    <x:col min="18" max="18" width="14" hidden="0" customWidth="1"/>
    <x:col min="19" max="19" width="24" hidden="0" customWidth="1"/>
    <x:col min="20" max="20" width="24" hidden="0" customWidth="1"/>
    <x:col min="21" max="21" width="16" hidden="0" customWidth="1"/>
    <x:col min="22" max="22" width="20" hidden="0" customWidth="1"/>
    <x:col min="23" max="23" width="38" hidden="0" customWidth="1"/>
  </x:cols>
  <x:sheetData>
    <x:row r="1" ht="32" customHeight="1">
      <x:c r="A1" s="4" t="str">
        <x:v>运行记录（每次实验复制一组30题并使用新的 run_id）</x:v>
      </x:c>
      <x:c r="B1" s="4" t="str">
        <x:v>运行记录（每次实验复制一组30题并使用新的 run_id）</x:v>
      </x:c>
      <x:c r="C1" s="4" t="str">
        <x:v>运行记录（每次实验复制一组30题并使用新的 run_id）</x:v>
      </x:c>
      <x:c r="D1" s="4" t="str">
        <x:v>运行记录（每次实验复制一组30题并使用新的 run_id）</x:v>
      </x:c>
      <x:c r="E1" s="4" t="str">
        <x:v>运行记录（每次实验复制一组30题并使用新的 run_id）</x:v>
      </x:c>
      <x:c r="F1" s="4" t="str">
        <x:v>运行记录（每次实验复制一组30题并使用新的 run_id）</x:v>
      </x:c>
      <x:c r="G1" s="4" t="str">
        <x:v>运行记录（每次实验复制一组30题并使用新的 run_id）</x:v>
      </x:c>
      <x:c r="H1" s="4" t="str">
        <x:v>运行记录（每次实验复制一组30题并使用新的 run_id）</x:v>
      </x:c>
      <x:c r="I1" s="4" t="str">
        <x:v>运行记录（每次实验复制一组30题并使用新的 run_id）</x:v>
      </x:c>
      <x:c r="J1" s="4" t="str">
        <x:v>运行记录（每次实验复制一组30题并使用新的 run_id）</x:v>
      </x:c>
      <x:c r="K1" s="4" t="str">
        <x:v>运行记录（每次实验复制一组30题并使用新的 run_id）</x:v>
      </x:c>
      <x:c r="L1" s="4" t="str">
        <x:v>运行记录（每次实验复制一组30题并使用新的 run_id）</x:v>
      </x:c>
      <x:c r="M1" s="4" t="str">
        <x:v>运行记录（每次实验复制一组30题并使用新的 run_id）</x:v>
      </x:c>
      <x:c r="N1" s="4" t="str">
        <x:v>运行记录（每次实验复制一组30题并使用新的 run_id）</x:v>
      </x:c>
      <x:c r="O1" s="4" t="str">
        <x:v>运行记录（每次实验复制一组30题并使用新的 run_id）</x:v>
      </x:c>
      <x:c r="P1" s="4" t="str">
        <x:v>运行记录（每次实验复制一组30题并使用新的 run_id）</x:v>
      </x:c>
      <x:c r="Q1" s="4" t="str">
        <x:v>运行记录（每次实验复制一组30题并使用新的 run_id）</x:v>
      </x:c>
      <x:c r="R1" s="4" t="str">
        <x:v>运行记录（每次实验复制一组30题并使用新的 run_id）</x:v>
      </x:c>
      <x:c r="S1" s="4" t="str">
        <x:v>运行记录（每次实验复制一组30题并使用新的 run_id）</x:v>
      </x:c>
      <x:c r="T1" s="4" t="str">
        <x:v>运行记录（每次实验复制一组30题并使用新的 run_id）</x:v>
      </x:c>
      <x:c r="U1" s="4" t="str">
        <x:v>运行记录（每次实验复制一组30题并使用新的 run_id）</x:v>
      </x:c>
      <x:c r="V1" s="4" t="str">
        <x:v>运行记录（每次实验复制一组30题并使用新的 run_id）</x:v>
      </x:c>
      <x:c r="W1" s="4" t="str">
        <x:v>运行记录（每次实验复制一组30题并使用新的 run_id）</x:v>
      </x:c>
    </x:row>
    <x:row r="3" ht="44" customHeight="1">
      <x:c r="A3" s="12" t="str">
        <x:v>run_id</x:v>
      </x:c>
      <x:c r="B3" s="26" t="str">
        <x:v>test_case_id</x:v>
      </x:c>
      <x:c r="C3" s="26" t="str">
        <x:v>category</x:v>
      </x:c>
      <x:c r="D3" s="26" t="str">
        <x:v>model</x:v>
      </x:c>
      <x:c r="E3" s="26" t="str">
        <x:v>prompt_version</x:v>
      </x:c>
      <x:c r="F3" s="26" t="str">
        <x:v>query_rewrite</x:v>
      </x:c>
      <x:c r="G3" s="26" t="str">
        <x:v>reranker</x:v>
      </x:c>
      <x:c r="H3" s="26" t="str">
        <x:v>top_k</x:v>
      </x:c>
      <x:c r="I3" s="26" t="str">
        <x:v>actual_intent</x:v>
      </x:c>
      <x:c r="J3" s="26" t="str">
        <x:v>expected_intent</x:v>
      </x:c>
      <x:c r="K3" s="26" t="str">
        <x:v>intent_correct</x:v>
      </x:c>
      <x:c r="L3" s="26" t="str">
        <x:v>fact_correct</x:v>
      </x:c>
      <x:c r="M3" s="26" t="str">
        <x:v>citation_covered</x:v>
      </x:c>
      <x:c r="N3" s="26" t="str">
        <x:v>penalty_scope_correct</x:v>
      </x:c>
      <x:c r="O3" s="26" t="str">
        <x:v>faithfulness_1_5</x:v>
      </x:c>
      <x:c r="P3" s="26" t="str">
        <x:v>completeness_1_5</x:v>
      </x:c>
      <x:c r="Q3" s="26" t="str">
        <x:v>readability_1_5</x:v>
      </x:c>
      <x:c r="R3" s="26" t="str">
        <x:v>latency_ms</x:v>
      </x:c>
      <x:c r="S3" s="26" t="str">
        <x:v>warning_code</x:v>
      </x:c>
      <x:c r="T3" s="26" t="str">
        <x:v>expected_warning</x:v>
      </x:c>
      <x:c r="U3" s="26" t="str">
        <x:v>warning_correct</x:v>
      </x:c>
      <x:c r="V3" s="26" t="str">
        <x:v>error_type</x:v>
      </x:c>
      <x:c r="W3" s="13" t="str">
        <x:v>notes/trace_id</x:v>
      </x:c>
    </x:row>
    <x:row r="4">
      <x:c r="A4" s="20" t="str">
        <x:v>baseline-v1</x:v>
      </x:c>
      <x:c r="B4" s="20" t="str">
        <x:v>exact_001</x:v>
      </x:c>
      <x:c r="C4" s="20" t="str">
        <x:v>exact_match</x:v>
      </x:c>
      <x:c r="D4" s="20" t="str"/>
      <x:c r="E4" s="20" t="str">
        <x:v>exact-match-v1.0</x:v>
      </x:c>
      <x:c r="F4" s="20" t="str">
        <x:v>关闭</x:v>
      </x:c>
      <x:c r="G4" s="20" t="str">
        <x:v>关闭</x:v>
      </x:c>
      <x:c r="H4" s="33" t="n">
        <x:v>5</x:v>
      </x:c>
      <x:c r="I4" s="20" t="str"/>
      <x:c r="J4" s="20" t="str">
        <x:v>exact_fact_query</x:v>
      </x:c>
      <x:c r="K4" s="33" t="str">
        <x:f>IF(I4="","",--(I4=J4))</x:f>
      </x:c>
      <x:c r="L4" s="33"/>
      <x:c r="M4" s="33"/>
      <x:c r="N4" s="33"/>
      <x:c r="O4" s="36"/>
      <x:c r="P4" s="36"/>
      <x:c r="Q4" s="36"/>
      <x:c r="R4" s="33"/>
      <x:c r="S4" s="20" t="str"/>
      <x:c r="T4" s="20" t="str"/>
      <x:c r="U4" s="20" t="str">
        <x:f>IF(I4="","",IF(T4="",--(S4=""),--(S4=T4)))</x:f>
      </x:c>
      <x:c r="V4" s="20" t="str"/>
      <x:c r="W4" s="20" t="str"/>
    </x:row>
    <x:row r="5">
      <x:c r="A5" s="21" t="str">
        <x:v>baseline-v1</x:v>
      </x:c>
      <x:c r="B5" s="21" t="str">
        <x:v>exact_002</x:v>
      </x:c>
      <x:c r="C5" s="21" t="str">
        <x:v>exact_match</x:v>
      </x:c>
      <x:c r="D5" s="21" t="str"/>
      <x:c r="E5" s="21" t="str">
        <x:v>exact-match-v1.0</x:v>
      </x:c>
      <x:c r="F5" s="21" t="str">
        <x:v>关闭</x:v>
      </x:c>
      <x:c r="G5" s="21" t="str">
        <x:v>关闭</x:v>
      </x:c>
      <x:c r="H5" s="34" t="n">
        <x:v>5</x:v>
      </x:c>
      <x:c r="I5" s="21" t="str"/>
      <x:c r="J5" s="21" t="str">
        <x:v>exact_fact_query</x:v>
      </x:c>
      <x:c r="K5" s="34" t="str">
        <x:f>IF(I5="","",--(I5=J5))</x:f>
      </x:c>
      <x:c r="L5" s="34"/>
      <x:c r="M5" s="34"/>
      <x:c r="N5" s="34"/>
      <x:c r="O5" s="37"/>
      <x:c r="P5" s="37"/>
      <x:c r="Q5" s="37"/>
      <x:c r="R5" s="34"/>
      <x:c r="S5" s="21" t="str"/>
      <x:c r="T5" s="21" t="str"/>
      <x:c r="U5" s="21" t="str">
        <x:f>IF(I5="","",IF(T5="",--(S5=""),--(S5=T5)))</x:f>
      </x:c>
      <x:c r="V5" s="21" t="str"/>
      <x:c r="W5" s="21" t="str"/>
    </x:row>
    <x:row r="6">
      <x:c r="A6" s="21" t="str">
        <x:v>baseline-v1</x:v>
      </x:c>
      <x:c r="B6" s="21" t="str">
        <x:v>exact_003</x:v>
      </x:c>
      <x:c r="C6" s="21" t="str">
        <x:v>exact_match</x:v>
      </x:c>
      <x:c r="D6" s="21" t="str"/>
      <x:c r="E6" s="21" t="str">
        <x:v>exact-match-v1.0</x:v>
      </x:c>
      <x:c r="F6" s="21" t="str">
        <x:v>关闭</x:v>
      </x:c>
      <x:c r="G6" s="21" t="str">
        <x:v>关闭</x:v>
      </x:c>
      <x:c r="H6" s="34" t="n">
        <x:v>5</x:v>
      </x:c>
      <x:c r="I6" s="21" t="str"/>
      <x:c r="J6" s="21" t="str">
        <x:v>exact_fact_query</x:v>
      </x:c>
      <x:c r="K6" s="34" t="str">
        <x:f>IF(I6="","",--(I6=J6))</x:f>
      </x:c>
      <x:c r="L6" s="34"/>
      <x:c r="M6" s="34"/>
      <x:c r="N6" s="34"/>
      <x:c r="O6" s="37"/>
      <x:c r="P6" s="37"/>
      <x:c r="Q6" s="37"/>
      <x:c r="R6" s="34"/>
      <x:c r="S6" s="21" t="str"/>
      <x:c r="T6" s="21" t="str"/>
      <x:c r="U6" s="21" t="str">
        <x:f>IF(I6="","",IF(T6="",--(S6=""),--(S6=T6)))</x:f>
      </x:c>
      <x:c r="V6" s="21" t="str"/>
      <x:c r="W6" s="21" t="str"/>
    </x:row>
    <x:row r="7">
      <x:c r="A7" s="21" t="str">
        <x:v>baseline-v1</x:v>
      </x:c>
      <x:c r="B7" s="21" t="str">
        <x:v>exact_004</x:v>
      </x:c>
      <x:c r="C7" s="21" t="str">
        <x:v>exact_match</x:v>
      </x:c>
      <x:c r="D7" s="21" t="str"/>
      <x:c r="E7" s="21" t="str">
        <x:v>exact-match-v1.0</x:v>
      </x:c>
      <x:c r="F7" s="21" t="str">
        <x:v>关闭</x:v>
      </x:c>
      <x:c r="G7" s="21" t="str">
        <x:v>关闭</x:v>
      </x:c>
      <x:c r="H7" s="34" t="n">
        <x:v>5</x:v>
      </x:c>
      <x:c r="I7" s="21" t="str"/>
      <x:c r="J7" s="21" t="str">
        <x:v>exact_fact_query</x:v>
      </x:c>
      <x:c r="K7" s="34" t="str">
        <x:f>IF(I7="","",--(I7=J7))</x:f>
      </x:c>
      <x:c r="L7" s="34"/>
      <x:c r="M7" s="34"/>
      <x:c r="N7" s="34"/>
      <x:c r="O7" s="37"/>
      <x:c r="P7" s="37"/>
      <x:c r="Q7" s="37"/>
      <x:c r="R7" s="34"/>
      <x:c r="S7" s="21" t="str"/>
      <x:c r="T7" s="21" t="str"/>
      <x:c r="U7" s="21" t="str">
        <x:f>IF(I7="","",IF(T7="",--(S7=""),--(S7=T7)))</x:f>
      </x:c>
      <x:c r="V7" s="21" t="str"/>
      <x:c r="W7" s="21" t="str"/>
    </x:row>
    <x:row r="8">
      <x:c r="A8" s="21" t="str">
        <x:v>baseline-v1</x:v>
      </x:c>
      <x:c r="B8" s="21" t="str">
        <x:v>exact_005</x:v>
      </x:c>
      <x:c r="C8" s="21" t="str">
        <x:v>exact_match</x:v>
      </x:c>
      <x:c r="D8" s="21" t="str"/>
      <x:c r="E8" s="21" t="str">
        <x:v>exact-match-v1.0</x:v>
      </x:c>
      <x:c r="F8" s="21" t="str">
        <x:v>关闭</x:v>
      </x:c>
      <x:c r="G8" s="21" t="str">
        <x:v>关闭</x:v>
      </x:c>
      <x:c r="H8" s="34" t="n">
        <x:v>5</x:v>
      </x:c>
      <x:c r="I8" s="21" t="str"/>
      <x:c r="J8" s="21" t="str">
        <x:v>exact_fact_query</x:v>
      </x:c>
      <x:c r="K8" s="34" t="str">
        <x:f>IF(I8="","",--(I8=J8))</x:f>
      </x:c>
      <x:c r="L8" s="34"/>
      <x:c r="M8" s="34"/>
      <x:c r="N8" s="34"/>
      <x:c r="O8" s="37"/>
      <x:c r="P8" s="37"/>
      <x:c r="Q8" s="37"/>
      <x:c r="R8" s="34"/>
      <x:c r="S8" s="21" t="str"/>
      <x:c r="T8" s="21" t="str"/>
      <x:c r="U8" s="21" t="str">
        <x:f>IF(I8="","",IF(T8="",--(S8=""),--(S8=T8)))</x:f>
      </x:c>
      <x:c r="V8" s="21" t="str"/>
      <x:c r="W8" s="21" t="str"/>
    </x:row>
    <x:row r="9">
      <x:c r="A9" s="21" t="str">
        <x:v>baseline-v1</x:v>
      </x:c>
      <x:c r="B9" s="21" t="str">
        <x:v>relation_001</x:v>
      </x:c>
      <x:c r="C9" s="21" t="str">
        <x:v>relation_query</x:v>
      </x:c>
      <x:c r="D9" s="21" t="str"/>
      <x:c r="E9" s="21" t="str">
        <x:v>relation-query-v1.0</x:v>
      </x:c>
      <x:c r="F9" s="21" t="str">
        <x:v>关闭</x:v>
      </x:c>
      <x:c r="G9" s="21" t="str">
        <x:v>关闭</x:v>
      </x:c>
      <x:c r="H9" s="34" t="n">
        <x:v>5</x:v>
      </x:c>
      <x:c r="I9" s="21" t="str"/>
      <x:c r="J9" s="21" t="str">
        <x:v>match_relation_query</x:v>
      </x:c>
      <x:c r="K9" s="34" t="str">
        <x:f>IF(I9="","",--(I9=J9))</x:f>
      </x:c>
      <x:c r="L9" s="34"/>
      <x:c r="M9" s="34"/>
      <x:c r="N9" s="34"/>
      <x:c r="O9" s="37"/>
      <x:c r="P9" s="37"/>
      <x:c r="Q9" s="37"/>
      <x:c r="R9" s="34"/>
      <x:c r="S9" s="21" t="str"/>
      <x:c r="T9" s="21" t="str"/>
      <x:c r="U9" s="21" t="str">
        <x:f>IF(I9="","",IF(T9="",--(S9=""),--(S9=T9)))</x:f>
      </x:c>
      <x:c r="V9" s="21" t="str"/>
      <x:c r="W9" s="21" t="str"/>
    </x:row>
    <x:row r="10">
      <x:c r="A10" s="21" t="str">
        <x:v>baseline-v1</x:v>
      </x:c>
      <x:c r="B10" s="21" t="str">
        <x:v>relation_002</x:v>
      </x:c>
      <x:c r="C10" s="21" t="str">
        <x:v>relation_query</x:v>
      </x:c>
      <x:c r="D10" s="21" t="str"/>
      <x:c r="E10" s="21" t="str">
        <x:v>relation-query-v1.0</x:v>
      </x:c>
      <x:c r="F10" s="21" t="str">
        <x:v>关闭</x:v>
      </x:c>
      <x:c r="G10" s="21" t="str">
        <x:v>关闭</x:v>
      </x:c>
      <x:c r="H10" s="34" t="n">
        <x:v>5</x:v>
      </x:c>
      <x:c r="I10" s="21" t="str"/>
      <x:c r="J10" s="21" t="str">
        <x:v>match_relation_query</x:v>
      </x:c>
      <x:c r="K10" s="34" t="str">
        <x:f>IF(I10="","",--(I10=J10))</x:f>
      </x:c>
      <x:c r="L10" s="34"/>
      <x:c r="M10" s="34"/>
      <x:c r="N10" s="34"/>
      <x:c r="O10" s="37"/>
      <x:c r="P10" s="37"/>
      <x:c r="Q10" s="37"/>
      <x:c r="R10" s="34"/>
      <x:c r="S10" s="21" t="str"/>
      <x:c r="T10" s="21" t="str"/>
      <x:c r="U10" s="21" t="str">
        <x:f>IF(I10="","",IF(T10="",--(S10=""),--(S10=T10)))</x:f>
      </x:c>
      <x:c r="V10" s="21" t="str"/>
      <x:c r="W10" s="21" t="str"/>
    </x:row>
    <x:row r="11">
      <x:c r="A11" s="21" t="str">
        <x:v>baseline-v1</x:v>
      </x:c>
      <x:c r="B11" s="21" t="str">
        <x:v>relation_003</x:v>
      </x:c>
      <x:c r="C11" s="21" t="str">
        <x:v>relation_query</x:v>
      </x:c>
      <x:c r="D11" s="21" t="str"/>
      <x:c r="E11" s="21" t="str">
        <x:v>relation-query-v1.0</x:v>
      </x:c>
      <x:c r="F11" s="21" t="str">
        <x:v>关闭</x:v>
      </x:c>
      <x:c r="G11" s="21" t="str">
        <x:v>关闭</x:v>
      </x:c>
      <x:c r="H11" s="34" t="n">
        <x:v>5</x:v>
      </x:c>
      <x:c r="I11" s="21" t="str"/>
      <x:c r="J11" s="21" t="str">
        <x:v>match_relation_query</x:v>
      </x:c>
      <x:c r="K11" s="34" t="str">
        <x:f>IF(I11="","",--(I11=J11))</x:f>
      </x:c>
      <x:c r="L11" s="34"/>
      <x:c r="M11" s="34"/>
      <x:c r="N11" s="34"/>
      <x:c r="O11" s="37"/>
      <x:c r="P11" s="37"/>
      <x:c r="Q11" s="37"/>
      <x:c r="R11" s="34"/>
      <x:c r="S11" s="21" t="str"/>
      <x:c r="T11" s="21" t="str"/>
      <x:c r="U11" s="21" t="str">
        <x:f>IF(I11="","",IF(T11="",--(S11=""),--(S11=T11)))</x:f>
      </x:c>
      <x:c r="V11" s="21" t="str"/>
      <x:c r="W11" s="21" t="str"/>
    </x:row>
    <x:row r="12">
      <x:c r="A12" s="21" t="str">
        <x:v>baseline-v1</x:v>
      </x:c>
      <x:c r="B12" s="21" t="str">
        <x:v>relation_004</x:v>
      </x:c>
      <x:c r="C12" s="21" t="str">
        <x:v>relation_query</x:v>
      </x:c>
      <x:c r="D12" s="21" t="str"/>
      <x:c r="E12" s="21" t="str">
        <x:v>relation-query-v1.0</x:v>
      </x:c>
      <x:c r="F12" s="21" t="str">
        <x:v>关闭</x:v>
      </x:c>
      <x:c r="G12" s="21" t="str">
        <x:v>关闭</x:v>
      </x:c>
      <x:c r="H12" s="34" t="n">
        <x:v>5</x:v>
      </x:c>
      <x:c r="I12" s="21" t="str"/>
      <x:c r="J12" s="21" t="str">
        <x:v>match_relation_query</x:v>
      </x:c>
      <x:c r="K12" s="34" t="str">
        <x:f>IF(I12="","",--(I12=J12))</x:f>
      </x:c>
      <x:c r="L12" s="34"/>
      <x:c r="M12" s="34"/>
      <x:c r="N12" s="34"/>
      <x:c r="O12" s="37"/>
      <x:c r="P12" s="37"/>
      <x:c r="Q12" s="37"/>
      <x:c r="R12" s="34"/>
      <x:c r="S12" s="21" t="str"/>
      <x:c r="T12" s="21" t="str"/>
      <x:c r="U12" s="21" t="str">
        <x:f>IF(I12="","",IF(T12="",--(S12=""),--(S12=T12)))</x:f>
      </x:c>
      <x:c r="V12" s="21" t="str"/>
      <x:c r="W12" s="21" t="str"/>
    </x:row>
    <x:row r="13">
      <x:c r="A13" s="21" t="str">
        <x:v>baseline-v1</x:v>
      </x:c>
      <x:c r="B13" s="21" t="str">
        <x:v>relation_005</x:v>
      </x:c>
      <x:c r="C13" s="21" t="str">
        <x:v>relation_query</x:v>
      </x:c>
      <x:c r="D13" s="21" t="str"/>
      <x:c r="E13" s="21" t="str">
        <x:v>relation-query-v1.0</x:v>
      </x:c>
      <x:c r="F13" s="21" t="str">
        <x:v>关闭</x:v>
      </x:c>
      <x:c r="G13" s="21" t="str">
        <x:v>关闭</x:v>
      </x:c>
      <x:c r="H13" s="34" t="n">
        <x:v>5</x:v>
      </x:c>
      <x:c r="I13" s="21" t="str"/>
      <x:c r="J13" s="21" t="str">
        <x:v>match_relation_query</x:v>
      </x:c>
      <x:c r="K13" s="34" t="str">
        <x:f>IF(I13="","",--(I13=J13))</x:f>
      </x:c>
      <x:c r="L13" s="34"/>
      <x:c r="M13" s="34"/>
      <x:c r="N13" s="34"/>
      <x:c r="O13" s="37"/>
      <x:c r="P13" s="37"/>
      <x:c r="Q13" s="37"/>
      <x:c r="R13" s="34"/>
      <x:c r="S13" s="21" t="str"/>
      <x:c r="T13" s="21" t="str"/>
      <x:c r="U13" s="21" t="str">
        <x:f>IF(I13="","",IF(T13="",--(S13=""),--(S13=T13)))</x:f>
      </x:c>
      <x:c r="V13" s="21" t="str"/>
      <x:c r="W13" s="21" t="str"/>
    </x:row>
    <x:row r="14">
      <x:c r="A14" s="21" t="str">
        <x:v>baseline-v1</x:v>
      </x:c>
      <x:c r="B14" s="21" t="str">
        <x:v>penalty_001</x:v>
      </x:c>
      <x:c r="C14" s="21" t="str">
        <x:v>penalty_query</x:v>
      </x:c>
      <x:c r="D14" s="21" t="str"/>
      <x:c r="E14" s="21" t="str">
        <x:v>penalty-query-v1.0</x:v>
      </x:c>
      <x:c r="F14" s="21" t="str">
        <x:v>关闭</x:v>
      </x:c>
      <x:c r="G14" s="21" t="str">
        <x:v>关闭</x:v>
      </x:c>
      <x:c r="H14" s="34" t="n">
        <x:v>5</x:v>
      </x:c>
      <x:c r="I14" s="21" t="str"/>
      <x:c r="J14" s="21" t="str">
        <x:v>penalty_query</x:v>
      </x:c>
      <x:c r="K14" s="34" t="str">
        <x:f>IF(I14="","",--(I14=J14))</x:f>
      </x:c>
      <x:c r="L14" s="34"/>
      <x:c r="M14" s="34"/>
      <x:c r="N14" s="34"/>
      <x:c r="O14" s="37"/>
      <x:c r="P14" s="37"/>
      <x:c r="Q14" s="37"/>
      <x:c r="R14" s="34"/>
      <x:c r="S14" s="21" t="str"/>
      <x:c r="T14" s="21" t="str"/>
      <x:c r="U14" s="21" t="str">
        <x:f>IF(I14="","",IF(T14="",--(S14=""),--(S14=T14)))</x:f>
      </x:c>
      <x:c r="V14" s="21" t="str"/>
      <x:c r="W14" s="21" t="str"/>
    </x:row>
    <x:row r="15">
      <x:c r="A15" s="21" t="str">
        <x:v>baseline-v1</x:v>
      </x:c>
      <x:c r="B15" s="21" t="str">
        <x:v>penalty_002</x:v>
      </x:c>
      <x:c r="C15" s="21" t="str">
        <x:v>penalty_query</x:v>
      </x:c>
      <x:c r="D15" s="21" t="str"/>
      <x:c r="E15" s="21" t="str">
        <x:v>penalty-query-v1.0</x:v>
      </x:c>
      <x:c r="F15" s="21" t="str">
        <x:v>关闭</x:v>
      </x:c>
      <x:c r="G15" s="21" t="str">
        <x:v>关闭</x:v>
      </x:c>
      <x:c r="H15" s="34" t="n">
        <x:v>5</x:v>
      </x:c>
      <x:c r="I15" s="21" t="str"/>
      <x:c r="J15" s="21" t="str">
        <x:v>penalty_query</x:v>
      </x:c>
      <x:c r="K15" s="34" t="str">
        <x:f>IF(I15="","",--(I15=J15))</x:f>
      </x:c>
      <x:c r="L15" s="34"/>
      <x:c r="M15" s="34"/>
      <x:c r="N15" s="34"/>
      <x:c r="O15" s="37"/>
      <x:c r="P15" s="37"/>
      <x:c r="Q15" s="37"/>
      <x:c r="R15" s="34"/>
      <x:c r="S15" s="21" t="str"/>
      <x:c r="T15" s="21" t="str"/>
      <x:c r="U15" s="21" t="str">
        <x:f>IF(I15="","",IF(T15="",--(S15=""),--(S15=T15)))</x:f>
      </x:c>
      <x:c r="V15" s="21" t="str"/>
      <x:c r="W15" s="21" t="str"/>
    </x:row>
    <x:row r="16">
      <x:c r="A16" s="21" t="str">
        <x:v>baseline-v1</x:v>
      </x:c>
      <x:c r="B16" s="21" t="str">
        <x:v>penalty_003</x:v>
      </x:c>
      <x:c r="C16" s="21" t="str">
        <x:v>penalty_query</x:v>
      </x:c>
      <x:c r="D16" s="21" t="str"/>
      <x:c r="E16" s="21" t="str">
        <x:v>penalty-query-v1.0</x:v>
      </x:c>
      <x:c r="F16" s="21" t="str">
        <x:v>关闭</x:v>
      </x:c>
      <x:c r="G16" s="21" t="str">
        <x:v>关闭</x:v>
      </x:c>
      <x:c r="H16" s="34" t="n">
        <x:v>5</x:v>
      </x:c>
      <x:c r="I16" s="21" t="str"/>
      <x:c r="J16" s="21" t="str">
        <x:v>penalty_query</x:v>
      </x:c>
      <x:c r="K16" s="34" t="str">
        <x:f>IF(I16="","",--(I16=J16))</x:f>
      </x:c>
      <x:c r="L16" s="34"/>
      <x:c r="M16" s="34"/>
      <x:c r="N16" s="34"/>
      <x:c r="O16" s="37"/>
      <x:c r="P16" s="37"/>
      <x:c r="Q16" s="37"/>
      <x:c r="R16" s="34"/>
      <x:c r="S16" s="21" t="str"/>
      <x:c r="T16" s="21" t="str"/>
      <x:c r="U16" s="21" t="str">
        <x:f>IF(I16="","",IF(T16="",--(S16=""),--(S16=T16)))</x:f>
      </x:c>
      <x:c r="V16" s="21" t="str"/>
      <x:c r="W16" s="21" t="str"/>
    </x:row>
    <x:row r="17">
      <x:c r="A17" s="21" t="str">
        <x:v>baseline-v1</x:v>
      </x:c>
      <x:c r="B17" s="21" t="str">
        <x:v>penalty_004</x:v>
      </x:c>
      <x:c r="C17" s="21" t="str">
        <x:v>penalty_query</x:v>
      </x:c>
      <x:c r="D17" s="21" t="str"/>
      <x:c r="E17" s="21" t="str">
        <x:v>penalty-query-v1.0</x:v>
      </x:c>
      <x:c r="F17" s="21" t="str">
        <x:v>关闭</x:v>
      </x:c>
      <x:c r="G17" s="21" t="str">
        <x:v>关闭</x:v>
      </x:c>
      <x:c r="H17" s="34" t="n">
        <x:v>5</x:v>
      </x:c>
      <x:c r="I17" s="21" t="str"/>
      <x:c r="J17" s="21" t="str">
        <x:v>penalty_query</x:v>
      </x:c>
      <x:c r="K17" s="34" t="str">
        <x:f>IF(I17="","",--(I17=J17))</x:f>
      </x:c>
      <x:c r="L17" s="34"/>
      <x:c r="M17" s="34"/>
      <x:c r="N17" s="34"/>
      <x:c r="O17" s="37"/>
      <x:c r="P17" s="37"/>
      <x:c r="Q17" s="37"/>
      <x:c r="R17" s="34"/>
      <x:c r="S17" s="21" t="str"/>
      <x:c r="T17" s="21" t="str"/>
      <x:c r="U17" s="21" t="str">
        <x:f>IF(I17="","",IF(T17="",--(S17=""),--(S17=T17)))</x:f>
      </x:c>
      <x:c r="V17" s="21" t="str"/>
      <x:c r="W17" s="21" t="str"/>
    </x:row>
    <x:row r="18">
      <x:c r="A18" s="21" t="str">
        <x:v>baseline-v1</x:v>
      </x:c>
      <x:c r="B18" s="21" t="str">
        <x:v>penalty_005</x:v>
      </x:c>
      <x:c r="C18" s="21" t="str">
        <x:v>penalty_query</x:v>
      </x:c>
      <x:c r="D18" s="21" t="str"/>
      <x:c r="E18" s="21" t="str">
        <x:v>penalty-query-v1.0</x:v>
      </x:c>
      <x:c r="F18" s="21" t="str">
        <x:v>关闭</x:v>
      </x:c>
      <x:c r="G18" s="21" t="str">
        <x:v>关闭</x:v>
      </x:c>
      <x:c r="H18" s="34" t="n">
        <x:v>5</x:v>
      </x:c>
      <x:c r="I18" s="21" t="str"/>
      <x:c r="J18" s="21" t="str">
        <x:v>penalty_query</x:v>
      </x:c>
      <x:c r="K18" s="34" t="str">
        <x:f>IF(I18="","",--(I18=J18))</x:f>
      </x:c>
      <x:c r="L18" s="34"/>
      <x:c r="M18" s="34"/>
      <x:c r="N18" s="34"/>
      <x:c r="O18" s="37"/>
      <x:c r="P18" s="37"/>
      <x:c r="Q18" s="37"/>
      <x:c r="R18" s="34"/>
      <x:c r="S18" s="21" t="str"/>
      <x:c r="T18" s="21" t="str"/>
      <x:c r="U18" s="21" t="str">
        <x:f>IF(I18="","",IF(T18="",--(S18=""),--(S18=T18)))</x:f>
      </x:c>
      <x:c r="V18" s="21" t="str"/>
      <x:c r="W18" s="21" t="str"/>
    </x:row>
    <x:row r="19">
      <x:c r="A19" s="21" t="str">
        <x:v>baseline-v1</x:v>
      </x:c>
      <x:c r="B19" s="21" t="str">
        <x:v>comparison_001</x:v>
      </x:c>
      <x:c r="C19" s="21" t="str">
        <x:v>comparison</x:v>
      </x:c>
      <x:c r="D19" s="21" t="str"/>
      <x:c r="E19" s="21" t="str">
        <x:v>comparison-v1.0</x:v>
      </x:c>
      <x:c r="F19" s="21" t="str">
        <x:v>关闭</x:v>
      </x:c>
      <x:c r="G19" s="21" t="str">
        <x:v>关闭</x:v>
      </x:c>
      <x:c r="H19" s="34" t="n">
        <x:v>5</x:v>
      </x:c>
      <x:c r="I19" s="21" t="str"/>
      <x:c r="J19" s="21" t="str">
        <x:v>comparison_query</x:v>
      </x:c>
      <x:c r="K19" s="34" t="str">
        <x:f>IF(I19="","",--(I19=J19))</x:f>
      </x:c>
      <x:c r="L19" s="34"/>
      <x:c r="M19" s="34"/>
      <x:c r="N19" s="34"/>
      <x:c r="O19" s="37"/>
      <x:c r="P19" s="37"/>
      <x:c r="Q19" s="37"/>
      <x:c r="R19" s="34"/>
      <x:c r="S19" s="21" t="str"/>
      <x:c r="T19" s="21" t="str"/>
      <x:c r="U19" s="21" t="str">
        <x:f>IF(I19="","",IF(T19="",--(S19=""),--(S19=T19)))</x:f>
      </x:c>
      <x:c r="V19" s="21" t="str"/>
      <x:c r="W19" s="21" t="str"/>
    </x:row>
    <x:row r="20">
      <x:c r="A20" s="21" t="str">
        <x:v>baseline-v1</x:v>
      </x:c>
      <x:c r="B20" s="21" t="str">
        <x:v>comparison_002</x:v>
      </x:c>
      <x:c r="C20" s="21" t="str">
        <x:v>comparison</x:v>
      </x:c>
      <x:c r="D20" s="21" t="str"/>
      <x:c r="E20" s="21" t="str">
        <x:v>comparison-v1.0</x:v>
      </x:c>
      <x:c r="F20" s="21" t="str">
        <x:v>关闭</x:v>
      </x:c>
      <x:c r="G20" s="21" t="str">
        <x:v>关闭</x:v>
      </x:c>
      <x:c r="H20" s="34" t="n">
        <x:v>5</x:v>
      </x:c>
      <x:c r="I20" s="21" t="str"/>
      <x:c r="J20" s="21" t="str">
        <x:v>comparison_query</x:v>
      </x:c>
      <x:c r="K20" s="34" t="str">
        <x:f>IF(I20="","",--(I20=J20))</x:f>
      </x:c>
      <x:c r="L20" s="34"/>
      <x:c r="M20" s="34"/>
      <x:c r="N20" s="34"/>
      <x:c r="O20" s="37"/>
      <x:c r="P20" s="37"/>
      <x:c r="Q20" s="37"/>
      <x:c r="R20" s="34"/>
      <x:c r="S20" s="21" t="str"/>
      <x:c r="T20" s="21" t="str"/>
      <x:c r="U20" s="21" t="str">
        <x:f>IF(I20="","",IF(T20="",--(S20=""),--(S20=T20)))</x:f>
      </x:c>
      <x:c r="V20" s="21" t="str"/>
      <x:c r="W20" s="21" t="str"/>
    </x:row>
    <x:row r="21">
      <x:c r="A21" s="21" t="str">
        <x:v>baseline-v1</x:v>
      </x:c>
      <x:c r="B21" s="21" t="str">
        <x:v>comparison_003</x:v>
      </x:c>
      <x:c r="C21" s="21" t="str">
        <x:v>comparison</x:v>
      </x:c>
      <x:c r="D21" s="21" t="str"/>
      <x:c r="E21" s="21" t="str">
        <x:v>comparison-v1.0</x:v>
      </x:c>
      <x:c r="F21" s="21" t="str">
        <x:v>关闭</x:v>
      </x:c>
      <x:c r="G21" s="21" t="str">
        <x:v>关闭</x:v>
      </x:c>
      <x:c r="H21" s="34" t="n">
        <x:v>5</x:v>
      </x:c>
      <x:c r="I21" s="21" t="str"/>
      <x:c r="J21" s="21" t="str">
        <x:v>comparison_query</x:v>
      </x:c>
      <x:c r="K21" s="34" t="str">
        <x:f>IF(I21="","",--(I21=J21))</x:f>
      </x:c>
      <x:c r="L21" s="34"/>
      <x:c r="M21" s="34"/>
      <x:c r="N21" s="34"/>
      <x:c r="O21" s="37"/>
      <x:c r="P21" s="37"/>
      <x:c r="Q21" s="37"/>
      <x:c r="R21" s="34"/>
      <x:c r="S21" s="21" t="str"/>
      <x:c r="T21" s="21" t="str"/>
      <x:c r="U21" s="21" t="str">
        <x:f>IF(I21="","",IF(T21="",--(S21=""),--(S21=T21)))</x:f>
      </x:c>
      <x:c r="V21" s="21" t="str"/>
      <x:c r="W21" s="21" t="str"/>
    </x:row>
    <x:row r="22">
      <x:c r="A22" s="21" t="str">
        <x:v>baseline-v1</x:v>
      </x:c>
      <x:c r="B22" s="21" t="str">
        <x:v>comparison_004</x:v>
      </x:c>
      <x:c r="C22" s="21" t="str">
        <x:v>comparison</x:v>
      </x:c>
      <x:c r="D22" s="21" t="str"/>
      <x:c r="E22" s="21" t="str">
        <x:v>comparison-v1.0</x:v>
      </x:c>
      <x:c r="F22" s="21" t="str">
        <x:v>关闭</x:v>
      </x:c>
      <x:c r="G22" s="21" t="str">
        <x:v>关闭</x:v>
      </x:c>
      <x:c r="H22" s="34" t="n">
        <x:v>5</x:v>
      </x:c>
      <x:c r="I22" s="21" t="str"/>
      <x:c r="J22" s="21" t="str">
        <x:v>comparison_query</x:v>
      </x:c>
      <x:c r="K22" s="34" t="str">
        <x:f>IF(I22="","",--(I22=J22))</x:f>
      </x:c>
      <x:c r="L22" s="34"/>
      <x:c r="M22" s="34"/>
      <x:c r="N22" s="34"/>
      <x:c r="O22" s="37"/>
      <x:c r="P22" s="37"/>
      <x:c r="Q22" s="37"/>
      <x:c r="R22" s="34"/>
      <x:c r="S22" s="21" t="str"/>
      <x:c r="T22" s="21" t="str"/>
      <x:c r="U22" s="21" t="str">
        <x:f>IF(I22="","",IF(T22="",--(S22=""),--(S22=T22)))</x:f>
      </x:c>
      <x:c r="V22" s="21" t="str"/>
      <x:c r="W22" s="21" t="str"/>
    </x:row>
    <x:row r="23">
      <x:c r="A23" s="21" t="str">
        <x:v>baseline-v1</x:v>
      </x:c>
      <x:c r="B23" s="21" t="str">
        <x:v>comparison_005</x:v>
      </x:c>
      <x:c r="C23" s="21" t="str">
        <x:v>comparison</x:v>
      </x:c>
      <x:c r="D23" s="21" t="str"/>
      <x:c r="E23" s="21" t="str">
        <x:v>comparison-v1.0</x:v>
      </x:c>
      <x:c r="F23" s="21" t="str">
        <x:v>关闭</x:v>
      </x:c>
      <x:c r="G23" s="21" t="str">
        <x:v>关闭</x:v>
      </x:c>
      <x:c r="H23" s="34" t="n">
        <x:v>5</x:v>
      </x:c>
      <x:c r="I23" s="21" t="str"/>
      <x:c r="J23" s="21" t="str">
        <x:v>comparison_query</x:v>
      </x:c>
      <x:c r="K23" s="34" t="str">
        <x:f>IF(I23="","",--(I23=J23))</x:f>
      </x:c>
      <x:c r="L23" s="34"/>
      <x:c r="M23" s="34"/>
      <x:c r="N23" s="34"/>
      <x:c r="O23" s="37"/>
      <x:c r="P23" s="37"/>
      <x:c r="Q23" s="37"/>
      <x:c r="R23" s="34"/>
      <x:c r="S23" s="21" t="str"/>
      <x:c r="T23" s="21" t="str"/>
      <x:c r="U23" s="21" t="str">
        <x:f>IF(I23="","",IF(T23="",--(S23=""),--(S23=T23)))</x:f>
      </x:c>
      <x:c r="V23" s="21" t="str"/>
      <x:c r="W23" s="21" t="str"/>
    </x:row>
    <x:row r="24">
      <x:c r="A24" s="21" t="str">
        <x:v>baseline-v1</x:v>
      </x:c>
      <x:c r="B24" s="21" t="str">
        <x:v>summary_001</x:v>
      </x:c>
      <x:c r="C24" s="21" t="str">
        <x:v>summary</x:v>
      </x:c>
      <x:c r="D24" s="21" t="str"/>
      <x:c r="E24" s="21" t="str">
        <x:v>summary-v1.0</x:v>
      </x:c>
      <x:c r="F24" s="21" t="str">
        <x:v>关闭</x:v>
      </x:c>
      <x:c r="G24" s="21" t="str">
        <x:v>关闭</x:v>
      </x:c>
      <x:c r="H24" s="34" t="n">
        <x:v>5</x:v>
      </x:c>
      <x:c r="I24" s="21" t="str"/>
      <x:c r="J24" s="21" t="str">
        <x:v>summary_query</x:v>
      </x:c>
      <x:c r="K24" s="34" t="str">
        <x:f>IF(I24="","",--(I24=J24))</x:f>
      </x:c>
      <x:c r="L24" s="34"/>
      <x:c r="M24" s="34"/>
      <x:c r="N24" s="34"/>
      <x:c r="O24" s="37"/>
      <x:c r="P24" s="37"/>
      <x:c r="Q24" s="37"/>
      <x:c r="R24" s="34"/>
      <x:c r="S24" s="21" t="str"/>
      <x:c r="T24" s="21" t="str"/>
      <x:c r="U24" s="21" t="str">
        <x:f>IF(I24="","",IF(T24="",--(S24=""),--(S24=T24)))</x:f>
      </x:c>
      <x:c r="V24" s="21" t="str"/>
      <x:c r="W24" s="21" t="str"/>
    </x:row>
    <x:row r="25">
      <x:c r="A25" s="21" t="str">
        <x:v>baseline-v1</x:v>
      </x:c>
      <x:c r="B25" s="21" t="str">
        <x:v>summary_002</x:v>
      </x:c>
      <x:c r="C25" s="21" t="str">
        <x:v>summary</x:v>
      </x:c>
      <x:c r="D25" s="21" t="str"/>
      <x:c r="E25" s="21" t="str">
        <x:v>summary-v1.0</x:v>
      </x:c>
      <x:c r="F25" s="21" t="str">
        <x:v>关闭</x:v>
      </x:c>
      <x:c r="G25" s="21" t="str">
        <x:v>关闭</x:v>
      </x:c>
      <x:c r="H25" s="34" t="n">
        <x:v>5</x:v>
      </x:c>
      <x:c r="I25" s="21" t="str"/>
      <x:c r="J25" s="21" t="str">
        <x:v>summary_query</x:v>
      </x:c>
      <x:c r="K25" s="34" t="str">
        <x:f>IF(I25="","",--(I25=J25))</x:f>
      </x:c>
      <x:c r="L25" s="34"/>
      <x:c r="M25" s="34"/>
      <x:c r="N25" s="34"/>
      <x:c r="O25" s="37"/>
      <x:c r="P25" s="37"/>
      <x:c r="Q25" s="37"/>
      <x:c r="R25" s="34"/>
      <x:c r="S25" s="21" t="str"/>
      <x:c r="T25" s="21" t="str"/>
      <x:c r="U25" s="21" t="str">
        <x:f>IF(I25="","",IF(T25="",--(S25=""),--(S25=T25)))</x:f>
      </x:c>
      <x:c r="V25" s="21" t="str"/>
      <x:c r="W25" s="21" t="str"/>
    </x:row>
    <x:row r="26">
      <x:c r="A26" s="21" t="str">
        <x:v>baseline-v1</x:v>
      </x:c>
      <x:c r="B26" s="21" t="str">
        <x:v>summary_003</x:v>
      </x:c>
      <x:c r="C26" s="21" t="str">
        <x:v>summary</x:v>
      </x:c>
      <x:c r="D26" s="21" t="str"/>
      <x:c r="E26" s="21" t="str">
        <x:v>summary-v1.0</x:v>
      </x:c>
      <x:c r="F26" s="21" t="str">
        <x:v>关闭</x:v>
      </x:c>
      <x:c r="G26" s="21" t="str">
        <x:v>关闭</x:v>
      </x:c>
      <x:c r="H26" s="34" t="n">
        <x:v>5</x:v>
      </x:c>
      <x:c r="I26" s="21" t="str"/>
      <x:c r="J26" s="21" t="str">
        <x:v>summary_query</x:v>
      </x:c>
      <x:c r="K26" s="34" t="str">
        <x:f>IF(I26="","",--(I26=J26))</x:f>
      </x:c>
      <x:c r="L26" s="34"/>
      <x:c r="M26" s="34"/>
      <x:c r="N26" s="34"/>
      <x:c r="O26" s="37"/>
      <x:c r="P26" s="37"/>
      <x:c r="Q26" s="37"/>
      <x:c r="R26" s="34"/>
      <x:c r="S26" s="21" t="str"/>
      <x:c r="T26" s="21" t="str"/>
      <x:c r="U26" s="21" t="str">
        <x:f>IF(I26="","",IF(T26="",--(S26=""),--(S26=T26)))</x:f>
      </x:c>
      <x:c r="V26" s="21" t="str"/>
      <x:c r="W26" s="21" t="str"/>
    </x:row>
    <x:row r="27">
      <x:c r="A27" s="21" t="str">
        <x:v>baseline-v1</x:v>
      </x:c>
      <x:c r="B27" s="21" t="str">
        <x:v>summary_004</x:v>
      </x:c>
      <x:c r="C27" s="21" t="str">
        <x:v>summary</x:v>
      </x:c>
      <x:c r="D27" s="21" t="str"/>
      <x:c r="E27" s="21" t="str">
        <x:v>summary-v1.0</x:v>
      </x:c>
      <x:c r="F27" s="21" t="str">
        <x:v>关闭</x:v>
      </x:c>
      <x:c r="G27" s="21" t="str">
        <x:v>关闭</x:v>
      </x:c>
      <x:c r="H27" s="34" t="n">
        <x:v>5</x:v>
      </x:c>
      <x:c r="I27" s="21" t="str"/>
      <x:c r="J27" s="21" t="str">
        <x:v>summary_query</x:v>
      </x:c>
      <x:c r="K27" s="34" t="str">
        <x:f>IF(I27="","",--(I27=J27))</x:f>
      </x:c>
      <x:c r="L27" s="34"/>
      <x:c r="M27" s="34"/>
      <x:c r="N27" s="34"/>
      <x:c r="O27" s="37"/>
      <x:c r="P27" s="37"/>
      <x:c r="Q27" s="37"/>
      <x:c r="R27" s="34"/>
      <x:c r="S27" s="21" t="str"/>
      <x:c r="T27" s="21" t="str"/>
      <x:c r="U27" s="21" t="str">
        <x:f>IF(I27="","",IF(T27="",--(S27=""),--(S27=T27)))</x:f>
      </x:c>
      <x:c r="V27" s="21" t="str"/>
      <x:c r="W27" s="21" t="str"/>
    </x:row>
    <x:row r="28">
      <x:c r="A28" s="21" t="str">
        <x:v>baseline-v1</x:v>
      </x:c>
      <x:c r="B28" s="21" t="str">
        <x:v>summary_005</x:v>
      </x:c>
      <x:c r="C28" s="21" t="str">
        <x:v>summary</x:v>
      </x:c>
      <x:c r="D28" s="21" t="str"/>
      <x:c r="E28" s="21" t="str">
        <x:v>summary-v1.0</x:v>
      </x:c>
      <x:c r="F28" s="21" t="str">
        <x:v>关闭</x:v>
      </x:c>
      <x:c r="G28" s="21" t="str">
        <x:v>关闭</x:v>
      </x:c>
      <x:c r="H28" s="34" t="n">
        <x:v>5</x:v>
      </x:c>
      <x:c r="I28" s="21" t="str"/>
      <x:c r="J28" s="21" t="str">
        <x:v>summary_query</x:v>
      </x:c>
      <x:c r="K28" s="34" t="str">
        <x:f>IF(I28="","",--(I28=J28))</x:f>
      </x:c>
      <x:c r="L28" s="34"/>
      <x:c r="M28" s="34"/>
      <x:c r="N28" s="34"/>
      <x:c r="O28" s="37"/>
      <x:c r="P28" s="37"/>
      <x:c r="Q28" s="37"/>
      <x:c r="R28" s="34"/>
      <x:c r="S28" s="21" t="str"/>
      <x:c r="T28" s="21" t="str"/>
      <x:c r="U28" s="21" t="str">
        <x:f>IF(I28="","",IF(T28="",--(S28=""),--(S28=T28)))</x:f>
      </x:c>
      <x:c r="V28" s="21" t="str"/>
      <x:c r="W28" s="21" t="str"/>
    </x:row>
    <x:row r="29">
      <x:c r="A29" s="21" t="str">
        <x:v>baseline-v1</x:v>
      </x:c>
      <x:c r="B29" s="21" t="str">
        <x:v>fallback_001</x:v>
      </x:c>
      <x:c r="C29" s="21" t="str">
        <x:v>fallback</x:v>
      </x:c>
      <x:c r="D29" s="21" t="str"/>
      <x:c r="E29" s="21" t="str">
        <x:v>fallback-v1.0</x:v>
      </x:c>
      <x:c r="F29" s="21" t="str">
        <x:v>关闭</x:v>
      </x:c>
      <x:c r="G29" s="21" t="str">
        <x:v>关闭</x:v>
      </x:c>
      <x:c r="H29" s="34" t="n">
        <x:v>5</x:v>
      </x:c>
      <x:c r="I29" s="21" t="str"/>
      <x:c r="J29" s="21" t="str">
        <x:v>out_of_scope</x:v>
      </x:c>
      <x:c r="K29" s="34" t="str">
        <x:f>IF(I29="","",--(I29=J29))</x:f>
      </x:c>
      <x:c r="L29" s="34"/>
      <x:c r="M29" s="34"/>
      <x:c r="N29" s="34"/>
      <x:c r="O29" s="37"/>
      <x:c r="P29" s="37"/>
      <x:c r="Q29" s="37"/>
      <x:c r="R29" s="34"/>
      <x:c r="S29" s="21" t="str"/>
      <x:c r="T29" s="21" t="str">
        <x:v>OUT_OF_SCOPE</x:v>
      </x:c>
      <x:c r="U29" s="21" t="str">
        <x:f>IF(I29="","",IF(T29="",--(S29=""),--(S29=T29)))</x:f>
      </x:c>
      <x:c r="V29" s="21" t="str"/>
      <x:c r="W29" s="21" t="str"/>
    </x:row>
    <x:row r="30">
      <x:c r="A30" s="21" t="str">
        <x:v>baseline-v1</x:v>
      </x:c>
      <x:c r="B30" s="21" t="str">
        <x:v>fallback_002</x:v>
      </x:c>
      <x:c r="C30" s="21" t="str">
        <x:v>fallback</x:v>
      </x:c>
      <x:c r="D30" s="21" t="str"/>
      <x:c r="E30" s="21" t="str">
        <x:v>fallback-v1.0</x:v>
      </x:c>
      <x:c r="F30" s="21" t="str">
        <x:v>关闭</x:v>
      </x:c>
      <x:c r="G30" s="21" t="str">
        <x:v>关闭</x:v>
      </x:c>
      <x:c r="H30" s="34" t="n">
        <x:v>5</x:v>
      </x:c>
      <x:c r="I30" s="21" t="str"/>
      <x:c r="J30" s="21" t="str">
        <x:v>need_clarification</x:v>
      </x:c>
      <x:c r="K30" s="34" t="str">
        <x:f>IF(I30="","",--(I30=J30))</x:f>
      </x:c>
      <x:c r="L30" s="34"/>
      <x:c r="M30" s="34"/>
      <x:c r="N30" s="34"/>
      <x:c r="O30" s="37"/>
      <x:c r="P30" s="37"/>
      <x:c r="Q30" s="37"/>
      <x:c r="R30" s="34"/>
      <x:c r="S30" s="21" t="str"/>
      <x:c r="T30" s="21" t="str">
        <x:v>NEED_CLARIFICATION</x:v>
      </x:c>
      <x:c r="U30" s="21" t="str">
        <x:f>IF(I30="","",IF(T30="",--(S30=""),--(S30=T30)))</x:f>
      </x:c>
      <x:c r="V30" s="21" t="str"/>
      <x:c r="W30" s="21" t="str"/>
    </x:row>
    <x:row r="31">
      <x:c r="A31" s="21" t="str">
        <x:v>baseline-v1</x:v>
      </x:c>
      <x:c r="B31" s="21" t="str">
        <x:v>fallback_003</x:v>
      </x:c>
      <x:c r="C31" s="21" t="str">
        <x:v>fallback</x:v>
      </x:c>
      <x:c r="D31" s="21" t="str"/>
      <x:c r="E31" s="21" t="str">
        <x:v>fallback-v1.0</x:v>
      </x:c>
      <x:c r="F31" s="21" t="str">
        <x:v>关闭</x:v>
      </x:c>
      <x:c r="G31" s="21" t="str">
        <x:v>关闭</x:v>
      </x:c>
      <x:c r="H31" s="34" t="n">
        <x:v>5</x:v>
      </x:c>
      <x:c r="I31" s="21" t="str"/>
      <x:c r="J31" s="21" t="str">
        <x:v>out_of_scope</x:v>
      </x:c>
      <x:c r="K31" s="34" t="str">
        <x:f>IF(I31="","",--(I31=J31))</x:f>
      </x:c>
      <x:c r="L31" s="34"/>
      <x:c r="M31" s="34"/>
      <x:c r="N31" s="34"/>
      <x:c r="O31" s="37"/>
      <x:c r="P31" s="37"/>
      <x:c r="Q31" s="37"/>
      <x:c r="R31" s="34"/>
      <x:c r="S31" s="21" t="str"/>
      <x:c r="T31" s="21" t="str">
        <x:v>OUT_OF_SCOPE</x:v>
      </x:c>
      <x:c r="U31" s="21" t="str">
        <x:f>IF(I31="","",IF(T31="",--(S31=""),--(S31=T31)))</x:f>
      </x:c>
      <x:c r="V31" s="21" t="str"/>
      <x:c r="W31" s="21" t="str"/>
    </x:row>
    <x:row r="32">
      <x:c r="A32" s="21" t="str">
        <x:v>baseline-v1</x:v>
      </x:c>
      <x:c r="B32" s="21" t="str">
        <x:v>fallback_004</x:v>
      </x:c>
      <x:c r="C32" s="21" t="str">
        <x:v>fallback</x:v>
      </x:c>
      <x:c r="D32" s="21" t="str"/>
      <x:c r="E32" s="21" t="str">
        <x:v>fallback-v1.0</x:v>
      </x:c>
      <x:c r="F32" s="21" t="str">
        <x:v>关闭</x:v>
      </x:c>
      <x:c r="G32" s="21" t="str">
        <x:v>关闭</x:v>
      </x:c>
      <x:c r="H32" s="34" t="n">
        <x:v>5</x:v>
      </x:c>
      <x:c r="I32" s="21" t="str"/>
      <x:c r="J32" s="21" t="str">
        <x:v>no_result</x:v>
      </x:c>
      <x:c r="K32" s="34" t="str">
        <x:f>IF(I32="","",--(I32=J32))</x:f>
      </x:c>
      <x:c r="L32" s="34"/>
      <x:c r="M32" s="34"/>
      <x:c r="N32" s="34"/>
      <x:c r="O32" s="37"/>
      <x:c r="P32" s="37"/>
      <x:c r="Q32" s="37"/>
      <x:c r="R32" s="34"/>
      <x:c r="S32" s="21" t="str"/>
      <x:c r="T32" s="21" t="str">
        <x:v>NO_RESULT</x:v>
      </x:c>
      <x:c r="U32" s="21" t="str">
        <x:f>IF(I32="","",IF(T32="",--(S32=""),--(S32=T32)))</x:f>
      </x:c>
      <x:c r="V32" s="21" t="str"/>
      <x:c r="W32" s="21" t="str"/>
    </x:row>
    <x:row r="33">
      <x:c r="A33" s="22" t="str">
        <x:v>baseline-v1</x:v>
      </x:c>
      <x:c r="B33" s="22" t="str">
        <x:v>fallback_005</x:v>
      </x:c>
      <x:c r="C33" s="22" t="str">
        <x:v>fallback</x:v>
      </x:c>
      <x:c r="D33" s="22" t="str"/>
      <x:c r="E33" s="22" t="str">
        <x:v>fallback-v1.0</x:v>
      </x:c>
      <x:c r="F33" s="22" t="str">
        <x:v>关闭</x:v>
      </x:c>
      <x:c r="G33" s="22" t="str">
        <x:v>关闭</x:v>
      </x:c>
      <x:c r="H33" s="35" t="n">
        <x:v>5</x:v>
      </x:c>
      <x:c r="I33" s="22" t="str"/>
      <x:c r="J33" s="22" t="str">
        <x:v>source_conflict</x:v>
      </x:c>
      <x:c r="K33" s="35" t="str">
        <x:f>IF(I33="","",--(I33=J33))</x:f>
      </x:c>
      <x:c r="L33" s="35"/>
      <x:c r="M33" s="35"/>
      <x:c r="N33" s="35"/>
      <x:c r="O33" s="38"/>
      <x:c r="P33" s="38"/>
      <x:c r="Q33" s="38"/>
      <x:c r="R33" s="35"/>
      <x:c r="S33" s="22" t="str"/>
      <x:c r="T33" s="22" t="str">
        <x:v>SOURCE_CONFLICT</x:v>
      </x:c>
      <x:c r="U33" s="22" t="str">
        <x:f>IF(I33="","",IF(T33="",--(S33=""),--(S33=T33)))</x:f>
      </x:c>
      <x:c r="V33" s="22" t="str"/>
      <x:c r="W33" s="22" t="str"/>
    </x:row>
  </x:sheetData>
  <x:mergeCells>
    <x:mergeCell ref="A1:W1"/>
  </x:mergeCells>
  <x:conditionalFormatting sqref="K4:N33">
    <x:cfRule type="cellIs" dxfId="0" priority="1" operator="equal">
      <x:formula>1</x:formula>
    </x:cfRule>
    <x:cfRule type="cellIs" dxfId="1" priority="2" operator="equal">
      <x:formula>0</x:formula>
    </x:cfRule>
  </x:conditionalFormatting>
  <x:conditionalFormatting sqref="O4:Q33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4">
    <x:dataValidation type="list" sqref="F4:G33">
      <x:formula1>"关闭,开启"</x:formula1>
    </x:dataValidation>
    <x:dataValidation type="list" sqref="L4:N33">
      <x:formula1>"0,1"</x:formula1>
    </x:dataValidation>
    <x:dataValidation type="list" sqref="O4:Q33">
      <x:formula1>"1,2,3,4,5"</x:formula1>
    </x:dataValidation>
    <x:dataValidation type="list" sqref="V4:V33">
      <x:formula1>",ROUTING,FACT,CITATION,PENALTY_SCOPE,HALLUCINATION,NO_RESULT,LATENCY,OTHER"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7c3a03980441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32" customHeight="1">
      <x:c r="A1" s="4" t="str">
        <x:v>指标汇总（由运行记录自动计算）</x:v>
      </x:c>
      <x:c r="B1" s="4" t="str">
        <x:v>指标汇总（由运行记录自动计算）</x:v>
      </x:c>
      <x:c r="C1" s="4" t="str">
        <x:v>指标汇总（由运行记录自动计算）</x:v>
      </x:c>
      <x:c r="D1" s="4" t="str">
        <x:v>指标汇总（由运行记录自动计算）</x:v>
      </x:c>
      <x:c r="E1" s="4" t="str">
        <x:v>指标汇总（由运行记录自动计算）</x:v>
      </x:c>
    </x:row>
    <x:row r="3" ht="30" customHeight="1">
      <x:c r="A3" s="12" t="str">
        <x:v>指标</x:v>
      </x:c>
      <x:c r="B3" s="26" t="str">
        <x:v>当前结果</x:v>
      </x:c>
      <x:c r="C3" s="26" t="str">
        <x:v>建议目标</x:v>
      </x:c>
      <x:c r="D3" s="13" t="str">
        <x:v>说明</x:v>
      </x:c>
    </x:row>
    <x:row r="4">
      <x:c r="A4" s="20" t="str">
        <x:v>已完成题数</x:v>
      </x:c>
      <x:c r="B4" s="20" t="n">
        <x:f>COUNT('运行记录'!K4:K203)</x:f>
        <x:v>0</x:v>
      </x:c>
      <x:c r="C4" s="20" t="n">
        <x:v>30</x:v>
      </x:c>
      <x:c r="D4" s="20" t="str">
        <x:v>actual_intent 非空的用例数</x:v>
      </x:c>
    </x:row>
    <x:row r="5">
      <x:c r="A5" s="21" t="str">
        <x:v>Intent Accuracy</x:v>
      </x:c>
      <x:c r="B5" s="28" t="str">
        <x:f>IFERROR(AVERAGE('运行记录'!K4:K203),"")</x:f>
      </x:c>
      <x:c r="C5" s="28" t="n">
        <x:v>0.9</x:v>
      </x:c>
      <x:c r="D5" s="21" t="str">
        <x:v>意图判断正确比例</x:v>
      </x:c>
    </x:row>
    <x:row r="6">
      <x:c r="A6" s="21" t="str">
        <x:v>Fact Accuracy</x:v>
      </x:c>
      <x:c r="B6" s="28" t="str">
        <x:f>IFERROR(AVERAGE('运行记录'!L4:L203),"")</x:f>
      </x:c>
      <x:c r="C6" s="28" t="n">
        <x:v>0.95</x:v>
      </x:c>
      <x:c r="D6" s="21" t="str">
        <x:v>人工填写 fact_correct 的平均值</x:v>
      </x:c>
    </x:row>
    <x:row r="7">
      <x:c r="A7" s="21" t="str">
        <x:v>Citation Coverage</x:v>
      </x:c>
      <x:c r="B7" s="28" t="str">
        <x:f>IFERROR(AVERAGE('运行记录'!M4:M203),"")</x:f>
      </x:c>
      <x:c r="C7" s="28" t="n">
        <x:v>0.95</x:v>
      </x:c>
      <x:c r="D7" s="21" t="str">
        <x:v>人工填写 citation_covered 的平均值</x:v>
      </x:c>
    </x:row>
    <x:row r="8">
      <x:c r="A8" s="21" t="str">
        <x:v>Penalty Scope Accuracy</x:v>
      </x:c>
      <x:c r="B8" s="28" t="str">
        <x:f>IFERROR(AVERAGE('运行记录'!N4:N203),"")</x:f>
      </x:c>
      <x:c r="C8" s="28" t="n">
        <x:v>1</x:v>
      </x:c>
      <x:c r="D8" s="21" t="str">
        <x:v>点球口径正确比例</x:v>
      </x:c>
    </x:row>
    <x:row r="9">
      <x:c r="A9" s="21" t="str">
        <x:v>Faithfulness</x:v>
      </x:c>
      <x:c r="B9" s="40" t="str">
        <x:f>IFERROR(AVERAGE('运行记录'!O4:O203),"")</x:f>
      </x:c>
      <x:c r="C9" s="21" t="n">
        <x:v>4.5</x:v>
      </x:c>
      <x:c r="D9" s="21" t="str">
        <x:v>1-5分人工评分平均值</x:v>
      </x:c>
    </x:row>
    <x:row r="10">
      <x:c r="A10" s="21" t="str">
        <x:v>Completeness</x:v>
      </x:c>
      <x:c r="B10" s="40" t="str">
        <x:f>IFERROR(AVERAGE('运行记录'!P4:P203),"")</x:f>
      </x:c>
      <x:c r="C10" s="21" t="n">
        <x:v>4</x:v>
      </x:c>
      <x:c r="D10" s="21" t="str">
        <x:v>1-5分人工评分平均值</x:v>
      </x:c>
    </x:row>
    <x:row r="11">
      <x:c r="A11" s="21" t="str">
        <x:v>Readability</x:v>
      </x:c>
      <x:c r="B11" s="40" t="str">
        <x:f>IFERROR(AVERAGE('运行记录'!Q4:Q203),"")</x:f>
      </x:c>
      <x:c r="C11" s="21" t="n">
        <x:v>4</x:v>
      </x:c>
      <x:c r="D11" s="21" t="str">
        <x:v>1-5分人工评分平均值</x:v>
      </x:c>
    </x:row>
    <x:row r="12">
      <x:c r="A12" s="21" t="str">
        <x:v>Average Latency (ms)</x:v>
      </x:c>
      <x:c r="B12" s="34" t="str">
        <x:f>IFERROR(AVERAGE('运行记录'!R4:R203),"")</x:f>
      </x:c>
      <x:c r="C12" s="21" t="n">
        <x:v>3000</x:v>
      </x:c>
      <x:c r="D12" s="21" t="str">
        <x:v>平均响应时间，目标需由团队确认</x:v>
      </x:c>
    </x:row>
    <x:row r="13">
      <x:c r="A13" s="22" t="str">
        <x:v>Warning Accuracy</x:v>
      </x:c>
      <x:c r="B13" s="39" t="str">
        <x:f>IFERROR(AVERAGE('运行记录'!U4:U203),"")</x:f>
      </x:c>
      <x:c r="C13" s="39" t="n">
        <x:v>0.95</x:v>
      </x:c>
      <x:c r="D13" s="22" t="str">
        <x:v>越界、无结果、冲突等告警准确率</x:v>
      </x:c>
    </x:row>
    <x:row r="15" ht="30" customHeight="1">
      <x:c r="A15" s="12" t="str">
        <x:v>类别</x:v>
      </x:c>
      <x:c r="B15" s="26" t="str">
        <x:v>题数</x:v>
      </x:c>
      <x:c r="C15" s="26" t="str">
        <x:v>意图准确率</x:v>
      </x:c>
      <x:c r="D15" s="26" t="str">
        <x:v>事实准确率</x:v>
      </x:c>
      <x:c r="E15" s="13" t="str">
        <x:v>来源覆盖率</x:v>
      </x:c>
    </x:row>
    <x:row r="16">
      <x:c r="A16" s="20" t="str">
        <x:v>exact_match</x:v>
      </x:c>
      <x:c r="B16" s="20" t="n">
        <x:f>COUNTIF('运行记录'!$C$4:$C$203,A16)</x:f>
        <x:v>5</x:v>
      </x:c>
      <x:c r="C16" s="27" t="str">
        <x:f>IFERROR(AVERAGEIF('运行记录'!$C$4:$C$203,A16,'运行记录'!$K$4:$K$203),"")</x:f>
      </x:c>
      <x:c r="D16" s="27" t="str">
        <x:f>IFERROR(AVERAGEIF('运行记录'!$C$4:$C$203,A16,'运行记录'!$L$4:$L$203),"")</x:f>
      </x:c>
      <x:c r="E16" s="27" t="str">
        <x:f>IFERROR(AVERAGEIF('运行记录'!$C$4:$C$203,A16,'运行记录'!$M$4:$M$203),"")</x:f>
      </x:c>
    </x:row>
    <x:row r="17">
      <x:c r="A17" s="21" t="str">
        <x:v>relation_query</x:v>
      </x:c>
      <x:c r="B17" s="21" t="n">
        <x:f>COUNTIF('运行记录'!$C$4:$C$203,A17)</x:f>
        <x:v>5</x:v>
      </x:c>
      <x:c r="C17" s="28" t="str">
        <x:f>IFERROR(AVERAGEIF('运行记录'!$C$4:$C$203,A17,'运行记录'!$K$4:$K$203),"")</x:f>
      </x:c>
      <x:c r="D17" s="28" t="str">
        <x:f>IFERROR(AVERAGEIF('运行记录'!$C$4:$C$203,A17,'运行记录'!$L$4:$L$203),"")</x:f>
      </x:c>
      <x:c r="E17" s="28" t="str">
        <x:f>IFERROR(AVERAGEIF('运行记录'!$C$4:$C$203,A17,'运行记录'!$M$4:$M$203),"")</x:f>
      </x:c>
    </x:row>
    <x:row r="18">
      <x:c r="A18" s="21" t="str">
        <x:v>penalty_query</x:v>
      </x:c>
      <x:c r="B18" s="21" t="n">
        <x:f>COUNTIF('运行记录'!$C$4:$C$203,A18)</x:f>
        <x:v>5</x:v>
      </x:c>
      <x:c r="C18" s="28" t="str">
        <x:f>IFERROR(AVERAGEIF('运行记录'!$C$4:$C$203,A18,'运行记录'!$K$4:$K$203),"")</x:f>
      </x:c>
      <x:c r="D18" s="28" t="str">
        <x:f>IFERROR(AVERAGEIF('运行记录'!$C$4:$C$203,A18,'运行记录'!$L$4:$L$203),"")</x:f>
      </x:c>
      <x:c r="E18" s="28" t="str">
        <x:f>IFERROR(AVERAGEIF('运行记录'!$C$4:$C$203,A18,'运行记录'!$M$4:$M$203),"")</x:f>
      </x:c>
    </x:row>
    <x:row r="19">
      <x:c r="A19" s="21" t="str">
        <x:v>comparison</x:v>
      </x:c>
      <x:c r="B19" s="21" t="n">
        <x:f>COUNTIF('运行记录'!$C$4:$C$203,A19)</x:f>
        <x:v>5</x:v>
      </x:c>
      <x:c r="C19" s="28" t="str">
        <x:f>IFERROR(AVERAGEIF('运行记录'!$C$4:$C$203,A19,'运行记录'!$K$4:$K$203),"")</x:f>
      </x:c>
      <x:c r="D19" s="28" t="str">
        <x:f>IFERROR(AVERAGEIF('运行记录'!$C$4:$C$203,A19,'运行记录'!$L$4:$L$203),"")</x:f>
      </x:c>
      <x:c r="E19" s="28" t="str">
        <x:f>IFERROR(AVERAGEIF('运行记录'!$C$4:$C$203,A19,'运行记录'!$M$4:$M$203),"")</x:f>
      </x:c>
    </x:row>
    <x:row r="20">
      <x:c r="A20" s="21" t="str">
        <x:v>summary</x:v>
      </x:c>
      <x:c r="B20" s="21" t="n">
        <x:f>COUNTIF('运行记录'!$C$4:$C$203,A20)</x:f>
        <x:v>5</x:v>
      </x:c>
      <x:c r="C20" s="28" t="str">
        <x:f>IFERROR(AVERAGEIF('运行记录'!$C$4:$C$203,A20,'运行记录'!$K$4:$K$203),"")</x:f>
      </x:c>
      <x:c r="D20" s="28" t="str">
        <x:f>IFERROR(AVERAGEIF('运行记录'!$C$4:$C$203,A20,'运行记录'!$L$4:$L$203),"")</x:f>
      </x:c>
      <x:c r="E20" s="28" t="str">
        <x:f>IFERROR(AVERAGEIF('运行记录'!$C$4:$C$203,A20,'运行记录'!$M$4:$M$203),"")</x:f>
      </x:c>
    </x:row>
    <x:row r="21">
      <x:c r="A21" s="22" t="str">
        <x:v>fallback</x:v>
      </x:c>
      <x:c r="B21" s="22" t="n">
        <x:f>COUNTIF('运行记录'!$C$4:$C$203,A21)</x:f>
        <x:v>5</x:v>
      </x:c>
      <x:c r="C21" s="39" t="str">
        <x:f>IFERROR(AVERAGEIF('运行记录'!$C$4:$C$203,A21,'运行记录'!$K$4:$K$203),"")</x:f>
      </x:c>
      <x:c r="D21" s="39" t="str">
        <x:f>IFERROR(AVERAGEIF('运行记录'!$C$4:$C$203,A21,'运行记录'!$L$4:$L$203),"")</x:f>
      </x:c>
      <x:c r="E21" s="39" t="str">
        <x:f>IFERROR(AVERAGEIF('运行记录'!$C$4:$C$203,A21,'运行记录'!$M$4:$M$203),"")</x:f>
      </x:c>
    </x:row>
  </x:sheetData>
  <x:mergeCells>
    <x:mergeCell ref="A1:E1"/>
  </x:mergeCells>
  <x:conditionalFormatting sqref="B5:B8">
    <x:cfRule type="cellIs" dxfId="2" priority="1" operator="greaterThanOrEqual">
      <x:formula>0.9</x:formula>
    </x:cfRule>
    <x:cfRule type="cellIs" dxfId="3" priority="2" operator="lessThan">
      <x:formula>0.9</x:formula>
    </x:cfRule>
  </x:conditionalFormatting>
  <x:pageMargins left="0.7" right="0.7" top="0.75" bottom="0.75" header="0.3" footer="0.3"/>
</x:worksheet>
</file>